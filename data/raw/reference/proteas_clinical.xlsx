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vasvav/Desktop/"/>
    </mc:Choice>
  </mc:AlternateContent>
  <xr:revisionPtr revIDLastSave="0" documentId="13_ncr:1_{7C5A3F0F-0486-8C4C-A3A1-0B454071E21B}" xr6:coauthVersionLast="47" xr6:coauthVersionMax="47" xr10:uidLastSave="{00000000-0000-0000-0000-000000000000}"/>
  <bookViews>
    <workbookView xWindow="0" yWindow="760" windowWidth="29040" windowHeight="15840" xr2:uid="{13D4AA23-14C9-8045-B324-E987CDAA82F4}"/>
  </bookViews>
  <sheets>
    <sheet name="PROTE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11" i="1"/>
  <c r="O9" i="1"/>
  <c r="O8" i="1"/>
  <c r="O12" i="1"/>
  <c r="O13" i="1"/>
  <c r="O14" i="1"/>
  <c r="O15" i="1"/>
  <c r="O16" i="1"/>
  <c r="O17" i="1"/>
  <c r="O18" i="1"/>
  <c r="O19" i="1"/>
  <c r="O20" i="1"/>
  <c r="O7" i="1"/>
  <c r="O22" i="1"/>
  <c r="O21" i="1"/>
  <c r="O23" i="1"/>
  <c r="O24" i="1"/>
  <c r="O6" i="1"/>
  <c r="O5" i="1"/>
  <c r="O4" i="1"/>
  <c r="O3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40" i="1"/>
  <c r="O41" i="1"/>
  <c r="O43" i="1"/>
  <c r="O44" i="1"/>
  <c r="O45" i="1"/>
  <c r="O46" i="1"/>
  <c r="O47" i="1"/>
  <c r="O48" i="1"/>
  <c r="O49" i="1"/>
</calcChain>
</file>

<file path=xl/sharedStrings.xml><?xml version="1.0" encoding="utf-8"?>
<sst xmlns="http://schemas.openxmlformats.org/spreadsheetml/2006/main" count="950" uniqueCount="264">
  <si>
    <t xml:space="preserve">Tumour Histology </t>
  </si>
  <si>
    <t>Brain Mets Imaging Date</t>
  </si>
  <si>
    <t>6 weeks</t>
  </si>
  <si>
    <t>3 months</t>
  </si>
  <si>
    <t>6 months</t>
  </si>
  <si>
    <t>9 months</t>
  </si>
  <si>
    <t>12 months</t>
  </si>
  <si>
    <t>Gender</t>
  </si>
  <si>
    <t>Race</t>
  </si>
  <si>
    <t>Type &amp; characteristics of intervention</t>
  </si>
  <si>
    <t>Rx dose at tumor margins</t>
  </si>
  <si>
    <t xml:space="preserve">Prior Chemo </t>
  </si>
  <si>
    <t>WHO PS</t>
  </si>
  <si>
    <t>Karnofsky PS (%)</t>
  </si>
  <si>
    <t>Neurocognitive status</t>
  </si>
  <si>
    <t>Presence and extent of cranial disease</t>
  </si>
  <si>
    <t>Number of metastases</t>
  </si>
  <si>
    <t>Lesion(s) location</t>
  </si>
  <si>
    <t>P01</t>
  </si>
  <si>
    <t>NSCLC</t>
  </si>
  <si>
    <t>N/A</t>
  </si>
  <si>
    <t>Male</t>
  </si>
  <si>
    <t>White/Caucasian</t>
  </si>
  <si>
    <t>RS</t>
  </si>
  <si>
    <t>20 Gy</t>
  </si>
  <si>
    <t>Yes</t>
  </si>
  <si>
    <t>stable extracranial</t>
  </si>
  <si>
    <t>Lt Parietal</t>
  </si>
  <si>
    <t>P02</t>
  </si>
  <si>
    <t>18 Gy</t>
  </si>
  <si>
    <t>hemiparesis due to CVA</t>
  </si>
  <si>
    <t>stable</t>
  </si>
  <si>
    <t>Lt parietal, and 2 lesions in cerebellum</t>
  </si>
  <si>
    <t>P03</t>
  </si>
  <si>
    <t>RS (DP after previous WBR)</t>
  </si>
  <si>
    <t>numbness arm leg</t>
  </si>
  <si>
    <t>Lt thalamus, Rt occipital</t>
  </si>
  <si>
    <t>P04a</t>
  </si>
  <si>
    <t>Rt temporal frontal</t>
  </si>
  <si>
    <t>P04b</t>
  </si>
  <si>
    <t>Rt temporal frontal, Lt parietal occipital, Rt central parietal</t>
  </si>
  <si>
    <t>P05</t>
  </si>
  <si>
    <t>memory disorders due to age</t>
  </si>
  <si>
    <t>Lt temporal, Rt temporal</t>
  </si>
  <si>
    <t>P06</t>
  </si>
  <si>
    <t>cerebellum</t>
  </si>
  <si>
    <t>P07a</t>
  </si>
  <si>
    <t>Lt parietoccipital</t>
  </si>
  <si>
    <t>P07b</t>
  </si>
  <si>
    <t>FSRT stereotactic boost after OP</t>
  </si>
  <si>
    <t>35 Gy</t>
  </si>
  <si>
    <t>P08</t>
  </si>
  <si>
    <t>27/06/2022</t>
  </si>
  <si>
    <t>Female</t>
  </si>
  <si>
    <t>weakness</t>
  </si>
  <si>
    <t>Rt frontal, Rt parietal</t>
  </si>
  <si>
    <t>P09</t>
  </si>
  <si>
    <t>Breast Ca</t>
  </si>
  <si>
    <t>16/09/2022</t>
  </si>
  <si>
    <t>14/12/2022</t>
  </si>
  <si>
    <t>P10</t>
  </si>
  <si>
    <t>gait disorders, astathia</t>
  </si>
  <si>
    <t>Lt cerebellum 2 lesions and 1 lesion Rt cerebellum</t>
  </si>
  <si>
    <t>P11</t>
  </si>
  <si>
    <t>20/07/2022</t>
  </si>
  <si>
    <t>25/10/2022</t>
  </si>
  <si>
    <t>memory, concentration disorders</t>
  </si>
  <si>
    <t xml:space="preserve">Rt parietal </t>
  </si>
  <si>
    <t>P12</t>
  </si>
  <si>
    <t>female</t>
  </si>
  <si>
    <t xml:space="preserve">weakness </t>
  </si>
  <si>
    <t>DP extracranial</t>
  </si>
  <si>
    <t>Lt cerebellum</t>
  </si>
  <si>
    <t>P13</t>
  </si>
  <si>
    <t>palsy leg</t>
  </si>
  <si>
    <t>Lt temporal, Rt frontal</t>
  </si>
  <si>
    <t>P14</t>
  </si>
  <si>
    <t>SCLC</t>
  </si>
  <si>
    <t>RS after previous PCI</t>
  </si>
  <si>
    <t>hemiparesis</t>
  </si>
  <si>
    <t>stable extracranial disease</t>
  </si>
  <si>
    <t>parietal</t>
  </si>
  <si>
    <t>P15</t>
  </si>
  <si>
    <t>Lt frontal gyrus, central medial parietal</t>
  </si>
  <si>
    <t>P16</t>
  </si>
  <si>
    <t>28/12/2020</t>
  </si>
  <si>
    <t>22/02/2021</t>
  </si>
  <si>
    <t>Lt parietal and Rt cerebellum</t>
  </si>
  <si>
    <t>P17a</t>
  </si>
  <si>
    <t>FSRT  (DP after Cyberknife)</t>
  </si>
  <si>
    <t>astathia</t>
  </si>
  <si>
    <t>lung metastasis DP</t>
  </si>
  <si>
    <t>P17b</t>
  </si>
  <si>
    <t>frontal</t>
  </si>
  <si>
    <t>P18</t>
  </si>
  <si>
    <t>17/06/2022</t>
  </si>
  <si>
    <t>28/09/2022</t>
  </si>
  <si>
    <t>weaknes after OP</t>
  </si>
  <si>
    <t>Lt parietal</t>
  </si>
  <si>
    <t>P19</t>
  </si>
  <si>
    <t>30/12/2021</t>
  </si>
  <si>
    <t>RS (previous WBR)</t>
  </si>
  <si>
    <t>mild delay from WBR</t>
  </si>
  <si>
    <t>Lt frontal, Rt Frontal</t>
  </si>
  <si>
    <t>P20a</t>
  </si>
  <si>
    <t>15/06/2022</t>
  </si>
  <si>
    <t>Rt frontal</t>
  </si>
  <si>
    <t>P20b</t>
  </si>
  <si>
    <t>Rt cerebellum</t>
  </si>
  <si>
    <t>P21</t>
  </si>
  <si>
    <t>P22</t>
  </si>
  <si>
    <t>13/07/2022</t>
  </si>
  <si>
    <t>Lt frontoparietal</t>
  </si>
  <si>
    <t>P23a</t>
  </si>
  <si>
    <t>astathia,palsy leg</t>
  </si>
  <si>
    <t>P23b</t>
  </si>
  <si>
    <t>astathia, palsy leg</t>
  </si>
  <si>
    <t>P24</t>
  </si>
  <si>
    <t>tumor cachexia</t>
  </si>
  <si>
    <t>Rt occipital</t>
  </si>
  <si>
    <t>P25</t>
  </si>
  <si>
    <t>13/12/2022</t>
  </si>
  <si>
    <t>FSRT  due to size</t>
  </si>
  <si>
    <t>P40</t>
  </si>
  <si>
    <t>numbness leg arm</t>
  </si>
  <si>
    <t>Lt temporal</t>
  </si>
  <si>
    <t>P26</t>
  </si>
  <si>
    <t>Lt parietooccipital, Lt thalamus and 2 lesions in cerebellum</t>
  </si>
  <si>
    <t>P27</t>
  </si>
  <si>
    <t>epilepsy</t>
  </si>
  <si>
    <t>Lt parietal, Left temporal, Rt cerebellum</t>
  </si>
  <si>
    <t>P28</t>
  </si>
  <si>
    <t>very good</t>
  </si>
  <si>
    <t>Lt temporoparietal</t>
  </si>
  <si>
    <t>P29</t>
  </si>
  <si>
    <t xml:space="preserve">20 Gy </t>
  </si>
  <si>
    <t>Rt frontal, Lt cerebellum lateral anterior, Lt cerebellum lateral posterior</t>
  </si>
  <si>
    <t>P30</t>
  </si>
  <si>
    <t>No</t>
  </si>
  <si>
    <t>good</t>
  </si>
  <si>
    <t>Rt frontal gyrus</t>
  </si>
  <si>
    <t>P31a</t>
  </si>
  <si>
    <t xml:space="preserve">progression </t>
  </si>
  <si>
    <t>Rt Thalamus</t>
  </si>
  <si>
    <t>P31b</t>
  </si>
  <si>
    <t>Lt occipital</t>
  </si>
  <si>
    <t>P32</t>
  </si>
  <si>
    <t>coordination disorders by eye movements</t>
  </si>
  <si>
    <t>Rt Cerebellum</t>
  </si>
  <si>
    <t>P33a</t>
  </si>
  <si>
    <t>Bifrontal central</t>
  </si>
  <si>
    <t>P33b</t>
  </si>
  <si>
    <t>Rt temporal, Rt parietal central</t>
  </si>
  <si>
    <t>P34</t>
  </si>
  <si>
    <t>bilateral visual disorder, neurocognitive very good</t>
  </si>
  <si>
    <t>Lt frontal</t>
  </si>
  <si>
    <t>P35</t>
  </si>
  <si>
    <t>no symptoms from brain mets</t>
  </si>
  <si>
    <t>P36</t>
  </si>
  <si>
    <t>P37</t>
  </si>
  <si>
    <t>Rt parietal occipital</t>
  </si>
  <si>
    <t>P38</t>
  </si>
  <si>
    <t>Lt gyrus temporalis</t>
  </si>
  <si>
    <t>P39</t>
  </si>
  <si>
    <t>Patient ID (Zenodo)</t>
  </si>
  <si>
    <t>Number of Fractions</t>
  </si>
  <si>
    <t>Lesion Details</t>
  </si>
  <si>
    <t>Name of drug</t>
  </si>
  <si>
    <t>Start Date</t>
  </si>
  <si>
    <t>End Date</t>
  </si>
  <si>
    <t>Systemic Treatment 1</t>
  </si>
  <si>
    <t>Systemic Treatment 2</t>
  </si>
  <si>
    <t>Systemic Treatment 3</t>
  </si>
  <si>
    <t>Systemic Treatment 4</t>
  </si>
  <si>
    <t>Systemic Treatment 5</t>
  </si>
  <si>
    <t>Systemic Treatment 6</t>
  </si>
  <si>
    <t>Systemic Treatment 7</t>
  </si>
  <si>
    <t>Date of Death</t>
  </si>
  <si>
    <t>Patient alive at last follow up?</t>
  </si>
  <si>
    <t>NO</t>
  </si>
  <si>
    <t>Date of Last Follow Up</t>
  </si>
  <si>
    <t>Date of RT start</t>
  </si>
  <si>
    <t>Date of RT end</t>
  </si>
  <si>
    <t>Dose/Fraction</t>
  </si>
  <si>
    <t>FSRT</t>
  </si>
  <si>
    <t>30/10/20217</t>
  </si>
  <si>
    <t>Taxol-Carboplatin</t>
  </si>
  <si>
    <t>Gemcitabine-Carboplatin</t>
  </si>
  <si>
    <t>Eribulin</t>
  </si>
  <si>
    <t>Navelbine</t>
  </si>
  <si>
    <t>Taxotere</t>
  </si>
  <si>
    <t>Gemcitabine-Cisplatin</t>
  </si>
  <si>
    <t>YES</t>
  </si>
  <si>
    <t>SRS</t>
  </si>
  <si>
    <t>Cisplatin-Navelbine</t>
  </si>
  <si>
    <t>Durvalumab</t>
  </si>
  <si>
    <t>Pembrolizumab</t>
  </si>
  <si>
    <t>Cisplatin-Etoposide</t>
  </si>
  <si>
    <t>Vidaza SC</t>
  </si>
  <si>
    <t>ongoing</t>
  </si>
  <si>
    <t>Taxol</t>
  </si>
  <si>
    <t>Pertuzumab</t>
  </si>
  <si>
    <t>Herceptin</t>
  </si>
  <si>
    <t>Capecitabine</t>
  </si>
  <si>
    <t>Capecitabine-Tucatinib</t>
  </si>
  <si>
    <t>Trastuzumab Deruxtecan</t>
  </si>
  <si>
    <t>Ongoing</t>
  </si>
  <si>
    <t>Taxotere-Ramucirumab</t>
  </si>
  <si>
    <t>Carboplatin-Navelbine</t>
  </si>
  <si>
    <t>Alectinib</t>
  </si>
  <si>
    <t>Lorlatinib</t>
  </si>
  <si>
    <t>Zoladex</t>
  </si>
  <si>
    <t>Ribociclib</t>
  </si>
  <si>
    <t>Fulvestrant</t>
  </si>
  <si>
    <t>Cisplatin</t>
  </si>
  <si>
    <t>Sotorasib</t>
  </si>
  <si>
    <t>Carboplatin</t>
  </si>
  <si>
    <t>Herceptin-Pertuzumab</t>
  </si>
  <si>
    <t>Enhertu</t>
  </si>
  <si>
    <t>Systemic Treatment 8</t>
  </si>
  <si>
    <t>Navelbine-Cisplatin</t>
  </si>
  <si>
    <t>Osimertinib</t>
  </si>
  <si>
    <t>Taxol-Carboplatin-Avastin-Atezolizumab</t>
  </si>
  <si>
    <t>Carboplatin-Alimta-Pembrolizumab</t>
  </si>
  <si>
    <t>Alimta-Pembrolizumab</t>
  </si>
  <si>
    <t>Carboplatin-Alimta</t>
  </si>
  <si>
    <t>Erlotinib</t>
  </si>
  <si>
    <t>Avastin-Atezolizumab</t>
  </si>
  <si>
    <t>Cisplatin-Alimta</t>
  </si>
  <si>
    <t>Nivolumab</t>
  </si>
  <si>
    <t>Zoladex-Tamoxifen</t>
  </si>
  <si>
    <t>Gefitinib</t>
  </si>
  <si>
    <t xml:space="preserve">Cisplatin </t>
  </si>
  <si>
    <t>Alimta</t>
  </si>
  <si>
    <t>Ciplatin</t>
  </si>
  <si>
    <t>carboplatin</t>
  </si>
  <si>
    <t>CMF (Cyclophosphamide, Methotrexate, Fluorouracil)</t>
  </si>
  <si>
    <t>FEC (Fluorouracil, Epirubicin, Cyclophosphamide)</t>
  </si>
  <si>
    <t>AC DD (Dose-Dense Adriamycin + Cyclophosphamide)</t>
  </si>
  <si>
    <t>EC (Epirubicin + Cyclophosphamide)</t>
  </si>
  <si>
    <t>Kadcyla (T-DM1)</t>
  </si>
  <si>
    <t>Tucatinip-Capecitabine</t>
  </si>
  <si>
    <t>Carboplatin-Etoposide</t>
  </si>
  <si>
    <t>Topotecan</t>
  </si>
  <si>
    <t>Irinotecan</t>
  </si>
  <si>
    <t>Phesgo SC</t>
  </si>
  <si>
    <t>AC (Adriamycin-Cyclophosphamide)</t>
  </si>
  <si>
    <t>Ramucirumab</t>
  </si>
  <si>
    <t>Systemic Treatment 9</t>
  </si>
  <si>
    <t>Systemic Treatment 10</t>
  </si>
  <si>
    <t>Systemic Treatment 11</t>
  </si>
  <si>
    <t>Zometa</t>
  </si>
  <si>
    <t>Letrozole</t>
  </si>
  <si>
    <t>Nolvadex</t>
  </si>
  <si>
    <t>Exedral</t>
  </si>
  <si>
    <t>Tucatinib-Capecitabine</t>
  </si>
  <si>
    <t>Tamoxifen</t>
  </si>
  <si>
    <t>Femara</t>
  </si>
  <si>
    <t>Faslodex</t>
  </si>
  <si>
    <t>Overall Survival (from start of RT; in days)</t>
  </si>
  <si>
    <t>Name of intervention (e.g., SRS, FSRT, WBRT)</t>
  </si>
  <si>
    <t>Dose at Start (day)</t>
  </si>
  <si>
    <t>Dose at End (day)</t>
  </si>
  <si>
    <t>Age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</si>
</sst>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2"/>
      <color theme="1"/>
      <name val="Aptos Narrow"/>
      <family val="2"/>
      <charset val="161"/>
      <scheme val="minor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11"/>
      <color rgb="FF242424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  <charset val="161"/>
    </font>
  </fonts>
  <fills count="11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AEEF3"/>
      </patternFill>
    </fill>
    <fill>
      <patternFill patternType="solid">
        <fgColor rgb="FFFF0000"/>
        <bgColor rgb="FF000000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 style="thin">
        <color theme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3" fillId="6" borderId="0" xfId="0" applyNumberFormat="1" applyFont="1" applyFill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6" borderId="4" xfId="0" applyNumberFormat="1" applyFont="1" applyFill="1" applyBorder="1" applyAlignment="1">
      <alignment horizontal="center" vertical="center"/>
    </xf>
    <xf numFmtId="14" fontId="4" fillId="6" borderId="7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4" fontId="4" fillId="6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10" borderId="4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E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5943-B1E2-6E45-B774-D42E7E1EE458}">
  <dimension ref="A1:BL49"/>
  <sheetViews>
    <sheetView tabSelected="1" zoomScale="90" zoomScaleNormal="9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I3" sqref="I3"/>
    </sheetView>
  </sheetViews>
  <sheetFormatPr baseColWidth="10" defaultColWidth="11" defaultRowHeight="14" x14ac:dyDescent="0.2"/>
  <cols>
    <col min="1" max="1" width="12.6640625" style="25" customWidth="1"/>
    <col min="2" max="2" width="10.83203125" style="25"/>
    <col min="3" max="8" width="14.33203125" style="25" customWidth="1"/>
    <col min="9" max="9" width="8.6640625" style="25" customWidth="1"/>
    <col min="10" max="10" width="12.33203125" style="25" customWidth="1"/>
    <col min="11" max="11" width="26.83203125" style="25" customWidth="1"/>
    <col min="12" max="12" width="13" style="25" customWidth="1"/>
    <col min="13" max="13" width="12.6640625" style="25" bestFit="1" customWidth="1"/>
    <col min="14" max="14" width="12.6640625" style="25" customWidth="1"/>
    <col min="15" max="15" width="17.5" style="25" customWidth="1"/>
    <col min="16" max="16" width="27" style="25" bestFit="1" customWidth="1"/>
    <col min="17" max="17" width="21.6640625" style="25" customWidth="1"/>
    <col min="18" max="18" width="14.33203125" style="25" bestFit="1" customWidth="1"/>
    <col min="19" max="19" width="14.33203125" style="25" customWidth="1"/>
    <col min="20" max="20" width="11" style="25"/>
    <col min="21" max="21" width="14.6640625" style="25" customWidth="1"/>
    <col min="22" max="26" width="11" style="25"/>
    <col min="27" max="27" width="13.6640625" style="25" customWidth="1"/>
    <col min="28" max="28" width="45.1640625" style="25" customWidth="1"/>
    <col min="29" max="29" width="22" style="25" bestFit="1" customWidth="1"/>
    <col min="30" max="30" width="20.33203125" style="25" bestFit="1" customWidth="1"/>
    <col min="31" max="31" width="58.5" style="25" bestFit="1" customWidth="1"/>
    <col min="32" max="32" width="47.1640625" style="25" customWidth="1"/>
    <col min="33" max="34" width="14.5" style="25" customWidth="1"/>
    <col min="35" max="35" width="47.1640625" style="25" customWidth="1"/>
    <col min="36" max="37" width="14.5" style="25" customWidth="1"/>
    <col min="38" max="38" width="47.1640625" style="25" customWidth="1"/>
    <col min="39" max="40" width="14.5" style="25" customWidth="1"/>
    <col min="41" max="41" width="47.1640625" style="25" customWidth="1"/>
    <col min="42" max="43" width="14.5" style="25" customWidth="1"/>
    <col min="44" max="44" width="47.1640625" style="25" customWidth="1"/>
    <col min="45" max="46" width="14.5" style="25" customWidth="1"/>
    <col min="47" max="47" width="47.1640625" style="25" customWidth="1"/>
    <col min="48" max="49" width="14.5" style="25" customWidth="1"/>
    <col min="50" max="50" width="47.1640625" style="25" customWidth="1"/>
    <col min="51" max="52" width="14.5" style="25" customWidth="1"/>
    <col min="53" max="53" width="47.1640625" style="25" customWidth="1"/>
    <col min="54" max="55" width="14.5" style="25" customWidth="1"/>
    <col min="56" max="56" width="47.1640625" style="25" customWidth="1"/>
    <col min="57" max="58" width="14.5" style="25" customWidth="1"/>
    <col min="59" max="59" width="47.1640625" style="25" customWidth="1"/>
    <col min="60" max="61" width="14.5" style="25" customWidth="1"/>
    <col min="62" max="62" width="47.1640625" style="25" customWidth="1"/>
    <col min="63" max="64" width="14.5" style="25" customWidth="1"/>
    <col min="65" max="16384" width="11" style="25"/>
  </cols>
  <sheetData>
    <row r="1" spans="1:64" ht="14.25" customHeight="1" x14ac:dyDescent="0.2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8"/>
      <c r="AD1" s="45" t="s">
        <v>166</v>
      </c>
      <c r="AE1" s="46"/>
      <c r="AF1" s="42" t="s">
        <v>170</v>
      </c>
      <c r="AG1" s="43"/>
      <c r="AH1" s="44"/>
      <c r="AI1" s="42" t="s">
        <v>171</v>
      </c>
      <c r="AJ1" s="43"/>
      <c r="AK1" s="44"/>
      <c r="AL1" s="42" t="s">
        <v>172</v>
      </c>
      <c r="AM1" s="43"/>
      <c r="AN1" s="44"/>
      <c r="AO1" s="42" t="s">
        <v>173</v>
      </c>
      <c r="AP1" s="43"/>
      <c r="AQ1" s="44"/>
      <c r="AR1" s="42" t="s">
        <v>174</v>
      </c>
      <c r="AS1" s="43"/>
      <c r="AT1" s="44"/>
      <c r="AU1" s="42" t="s">
        <v>175</v>
      </c>
      <c r="AV1" s="43"/>
      <c r="AW1" s="44"/>
      <c r="AX1" s="42" t="s">
        <v>176</v>
      </c>
      <c r="AY1" s="43"/>
      <c r="AZ1" s="44"/>
      <c r="BA1" s="42" t="s">
        <v>219</v>
      </c>
      <c r="BB1" s="43"/>
      <c r="BC1" s="44"/>
      <c r="BD1" s="42" t="s">
        <v>248</v>
      </c>
      <c r="BE1" s="43"/>
      <c r="BF1" s="44"/>
      <c r="BG1" s="42" t="s">
        <v>249</v>
      </c>
      <c r="BH1" s="43"/>
      <c r="BI1" s="44"/>
      <c r="BJ1" s="42" t="s">
        <v>250</v>
      </c>
      <c r="BK1" s="43"/>
      <c r="BL1" s="44"/>
    </row>
    <row r="2" spans="1:64" ht="59" customHeight="1" x14ac:dyDescent="0.2">
      <c r="A2" s="3" t="s">
        <v>164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263</v>
      </c>
      <c r="J2" s="4" t="s">
        <v>7</v>
      </c>
      <c r="K2" s="4" t="s">
        <v>8</v>
      </c>
      <c r="L2" s="3" t="s">
        <v>178</v>
      </c>
      <c r="M2" s="4" t="s">
        <v>177</v>
      </c>
      <c r="N2" s="3" t="s">
        <v>180</v>
      </c>
      <c r="O2" s="3" t="s">
        <v>259</v>
      </c>
      <c r="P2" s="3" t="s">
        <v>9</v>
      </c>
      <c r="Q2" s="3" t="s">
        <v>260</v>
      </c>
      <c r="R2" s="3" t="s">
        <v>181</v>
      </c>
      <c r="S2" s="3" t="s">
        <v>182</v>
      </c>
      <c r="T2" s="3" t="s">
        <v>165</v>
      </c>
      <c r="U2" s="3" t="s">
        <v>183</v>
      </c>
      <c r="V2" s="3" t="s">
        <v>10</v>
      </c>
      <c r="W2" s="3" t="s">
        <v>261</v>
      </c>
      <c r="X2" s="3" t="s">
        <v>262</v>
      </c>
      <c r="Y2" s="3" t="s">
        <v>11</v>
      </c>
      <c r="Z2" s="4" t="s">
        <v>12</v>
      </c>
      <c r="AA2" s="3" t="s">
        <v>13</v>
      </c>
      <c r="AB2" s="4" t="s">
        <v>14</v>
      </c>
      <c r="AC2" s="3" t="s">
        <v>15</v>
      </c>
      <c r="AD2" s="5" t="s">
        <v>16</v>
      </c>
      <c r="AE2" s="5" t="s">
        <v>17</v>
      </c>
      <c r="AF2" s="27" t="s">
        <v>167</v>
      </c>
      <c r="AG2" s="27" t="s">
        <v>168</v>
      </c>
      <c r="AH2" s="27" t="s">
        <v>169</v>
      </c>
      <c r="AI2" s="27" t="s">
        <v>167</v>
      </c>
      <c r="AJ2" s="27" t="s">
        <v>168</v>
      </c>
      <c r="AK2" s="27" t="s">
        <v>169</v>
      </c>
      <c r="AL2" s="27" t="s">
        <v>167</v>
      </c>
      <c r="AM2" s="27" t="s">
        <v>168</v>
      </c>
      <c r="AN2" s="27" t="s">
        <v>169</v>
      </c>
      <c r="AO2" s="27" t="s">
        <v>167</v>
      </c>
      <c r="AP2" s="27" t="s">
        <v>168</v>
      </c>
      <c r="AQ2" s="27" t="s">
        <v>169</v>
      </c>
      <c r="AR2" s="27" t="s">
        <v>167</v>
      </c>
      <c r="AS2" s="27" t="s">
        <v>168</v>
      </c>
      <c r="AT2" s="27" t="s">
        <v>169</v>
      </c>
      <c r="AU2" s="27" t="s">
        <v>167</v>
      </c>
      <c r="AV2" s="27" t="s">
        <v>168</v>
      </c>
      <c r="AW2" s="27" t="s">
        <v>169</v>
      </c>
      <c r="AX2" s="27" t="s">
        <v>167</v>
      </c>
      <c r="AY2" s="27" t="s">
        <v>168</v>
      </c>
      <c r="AZ2" s="27" t="s">
        <v>169</v>
      </c>
      <c r="BA2" s="27" t="s">
        <v>167</v>
      </c>
      <c r="BB2" s="27" t="s">
        <v>168</v>
      </c>
      <c r="BC2" s="27" t="s">
        <v>169</v>
      </c>
      <c r="BD2" s="27" t="s">
        <v>167</v>
      </c>
      <c r="BE2" s="27" t="s">
        <v>168</v>
      </c>
      <c r="BF2" s="27" t="s">
        <v>169</v>
      </c>
      <c r="BG2" s="27" t="s">
        <v>167</v>
      </c>
      <c r="BH2" s="27" t="s">
        <v>168</v>
      </c>
      <c r="BI2" s="27" t="s">
        <v>169</v>
      </c>
      <c r="BJ2" s="27" t="s">
        <v>167</v>
      </c>
      <c r="BK2" s="27" t="s">
        <v>168</v>
      </c>
      <c r="BL2" s="27" t="s">
        <v>169</v>
      </c>
    </row>
    <row r="3" spans="1:64" x14ac:dyDescent="0.2">
      <c r="A3" s="6" t="s">
        <v>18</v>
      </c>
      <c r="B3" s="7" t="s">
        <v>19</v>
      </c>
      <c r="C3" s="8">
        <v>43837</v>
      </c>
      <c r="D3" s="8">
        <v>43875</v>
      </c>
      <c r="E3" s="8">
        <v>43971</v>
      </c>
      <c r="F3" s="8">
        <v>44053</v>
      </c>
      <c r="G3" s="8">
        <v>44145</v>
      </c>
      <c r="H3" s="2" t="s">
        <v>20</v>
      </c>
      <c r="I3" s="7">
        <v>62</v>
      </c>
      <c r="J3" s="7" t="s">
        <v>21</v>
      </c>
      <c r="K3" s="7" t="s">
        <v>22</v>
      </c>
      <c r="L3" s="7" t="s">
        <v>179</v>
      </c>
      <c r="M3" s="8">
        <v>44298</v>
      </c>
      <c r="N3" s="7"/>
      <c r="O3" s="7">
        <f t="shared" ref="O3:O5" si="0">M3-R3</f>
        <v>458</v>
      </c>
      <c r="P3" s="7" t="s">
        <v>23</v>
      </c>
      <c r="Q3" s="7" t="s">
        <v>193</v>
      </c>
      <c r="R3" s="8">
        <v>43840</v>
      </c>
      <c r="S3" s="8">
        <v>43840</v>
      </c>
      <c r="T3" s="7">
        <v>1</v>
      </c>
      <c r="U3" s="7">
        <v>20</v>
      </c>
      <c r="V3" s="7" t="s">
        <v>24</v>
      </c>
      <c r="W3" s="7">
        <v>20</v>
      </c>
      <c r="X3" s="7">
        <v>20</v>
      </c>
      <c r="Y3" s="7" t="s">
        <v>25</v>
      </c>
      <c r="Z3" s="7">
        <v>1</v>
      </c>
      <c r="AA3" s="7">
        <v>90</v>
      </c>
      <c r="AB3" s="7"/>
      <c r="AC3" s="7" t="s">
        <v>26</v>
      </c>
      <c r="AD3" s="9">
        <v>1</v>
      </c>
      <c r="AE3" s="9" t="s">
        <v>27</v>
      </c>
      <c r="AF3" s="24" t="s">
        <v>189</v>
      </c>
      <c r="AG3" s="30">
        <v>43560</v>
      </c>
      <c r="AH3" s="30">
        <v>43637</v>
      </c>
      <c r="AI3" s="24" t="s">
        <v>232</v>
      </c>
      <c r="AJ3" s="30">
        <v>43560</v>
      </c>
      <c r="AK3" s="30">
        <v>43607</v>
      </c>
      <c r="AL3" s="24" t="s">
        <v>195</v>
      </c>
      <c r="AM3" s="30">
        <v>43685</v>
      </c>
      <c r="AN3" s="30">
        <v>43783</v>
      </c>
      <c r="AO3" s="24" t="s">
        <v>196</v>
      </c>
      <c r="AP3" s="30">
        <v>43816</v>
      </c>
      <c r="AQ3" s="30">
        <v>43944</v>
      </c>
      <c r="AR3" s="24" t="s">
        <v>190</v>
      </c>
      <c r="AS3" s="30">
        <v>44022</v>
      </c>
      <c r="AT3" s="30">
        <v>44109</v>
      </c>
      <c r="AU3" s="24"/>
      <c r="AV3" s="24"/>
      <c r="AW3" s="24"/>
      <c r="AX3" s="24"/>
      <c r="AY3" s="24"/>
      <c r="AZ3" s="24"/>
      <c r="BA3" s="24"/>
      <c r="BB3" s="24"/>
      <c r="BC3" s="31"/>
      <c r="BD3" s="24"/>
      <c r="BE3" s="24"/>
      <c r="BF3" s="24"/>
      <c r="BG3" s="24"/>
      <c r="BH3" s="24"/>
      <c r="BI3" s="24"/>
      <c r="BJ3" s="24"/>
      <c r="BK3" s="24"/>
      <c r="BL3" s="24"/>
    </row>
    <row r="4" spans="1:64" x14ac:dyDescent="0.2">
      <c r="A4" s="6" t="s">
        <v>28</v>
      </c>
      <c r="B4" s="9" t="s">
        <v>19</v>
      </c>
      <c r="C4" s="10">
        <v>44357</v>
      </c>
      <c r="D4" s="10">
        <v>44398</v>
      </c>
      <c r="E4" s="10">
        <v>44501</v>
      </c>
      <c r="F4" s="1" t="s">
        <v>20</v>
      </c>
      <c r="G4" s="1" t="s">
        <v>20</v>
      </c>
      <c r="H4" s="1" t="s">
        <v>20</v>
      </c>
      <c r="I4" s="9">
        <v>66</v>
      </c>
      <c r="J4" s="9" t="s">
        <v>21</v>
      </c>
      <c r="K4" s="9" t="s">
        <v>22</v>
      </c>
      <c r="L4" s="9" t="s">
        <v>179</v>
      </c>
      <c r="M4" s="10">
        <v>44544</v>
      </c>
      <c r="N4" s="9"/>
      <c r="O4" s="7">
        <f t="shared" si="0"/>
        <v>182</v>
      </c>
      <c r="P4" s="9" t="s">
        <v>23</v>
      </c>
      <c r="Q4" s="9" t="s">
        <v>193</v>
      </c>
      <c r="R4" s="10">
        <v>44362</v>
      </c>
      <c r="S4" s="10">
        <v>44362</v>
      </c>
      <c r="T4" s="9">
        <v>1</v>
      </c>
      <c r="U4" s="9">
        <v>18</v>
      </c>
      <c r="V4" s="9" t="s">
        <v>29</v>
      </c>
      <c r="W4" s="9">
        <v>18</v>
      </c>
      <c r="X4" s="9">
        <v>18</v>
      </c>
      <c r="Y4" s="12" t="s">
        <v>25</v>
      </c>
      <c r="Z4" s="9">
        <v>2</v>
      </c>
      <c r="AA4" s="9">
        <v>70</v>
      </c>
      <c r="AB4" s="9" t="s">
        <v>30</v>
      </c>
      <c r="AC4" s="9" t="s">
        <v>31</v>
      </c>
      <c r="AD4" s="9">
        <v>3</v>
      </c>
      <c r="AE4" s="9" t="s">
        <v>32</v>
      </c>
      <c r="AF4" s="24" t="s">
        <v>223</v>
      </c>
      <c r="AG4" s="30">
        <v>44361</v>
      </c>
      <c r="AH4" s="30">
        <v>44446</v>
      </c>
      <c r="AI4" s="24"/>
      <c r="AJ4" s="30"/>
      <c r="AK4" s="30"/>
      <c r="AL4" s="24"/>
      <c r="AM4" s="30"/>
      <c r="AN4" s="30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31"/>
      <c r="BD4" s="24"/>
      <c r="BE4" s="24"/>
      <c r="BF4" s="24"/>
      <c r="BG4" s="24"/>
      <c r="BH4" s="24"/>
      <c r="BI4" s="24"/>
      <c r="BJ4" s="24"/>
      <c r="BK4" s="24"/>
      <c r="BL4" s="24"/>
    </row>
    <row r="5" spans="1:64" x14ac:dyDescent="0.2">
      <c r="A5" s="6" t="s">
        <v>33</v>
      </c>
      <c r="B5" s="7" t="s">
        <v>19</v>
      </c>
      <c r="C5" s="8">
        <v>44543</v>
      </c>
      <c r="D5" s="8">
        <v>44595</v>
      </c>
      <c r="E5" s="8">
        <v>44706</v>
      </c>
      <c r="F5" s="1" t="s">
        <v>20</v>
      </c>
      <c r="G5" s="1" t="s">
        <v>20</v>
      </c>
      <c r="H5" s="1" t="s">
        <v>20</v>
      </c>
      <c r="I5" s="7">
        <v>52</v>
      </c>
      <c r="J5" s="7" t="s">
        <v>21</v>
      </c>
      <c r="K5" s="7" t="s">
        <v>22</v>
      </c>
      <c r="L5" s="7" t="s">
        <v>179</v>
      </c>
      <c r="M5" s="8">
        <v>44977</v>
      </c>
      <c r="N5" s="7"/>
      <c r="O5" s="7">
        <f t="shared" si="0"/>
        <v>430</v>
      </c>
      <c r="P5" s="7" t="s">
        <v>34</v>
      </c>
      <c r="Q5" s="7" t="s">
        <v>193</v>
      </c>
      <c r="R5" s="8">
        <v>44547</v>
      </c>
      <c r="S5" s="8">
        <v>44547</v>
      </c>
      <c r="T5" s="7">
        <v>1</v>
      </c>
      <c r="U5" s="7">
        <v>20</v>
      </c>
      <c r="V5" s="7" t="s">
        <v>24</v>
      </c>
      <c r="W5" s="7">
        <v>20</v>
      </c>
      <c r="X5" s="7">
        <v>20</v>
      </c>
      <c r="Y5" s="12" t="s">
        <v>25</v>
      </c>
      <c r="Z5" s="7">
        <v>1</v>
      </c>
      <c r="AA5" s="7">
        <v>80</v>
      </c>
      <c r="AB5" s="7" t="s">
        <v>35</v>
      </c>
      <c r="AC5" s="7" t="s">
        <v>31</v>
      </c>
      <c r="AD5" s="9">
        <v>2</v>
      </c>
      <c r="AE5" s="9" t="s">
        <v>36</v>
      </c>
      <c r="AF5" s="24" t="s">
        <v>216</v>
      </c>
      <c r="AG5" s="30">
        <v>43979</v>
      </c>
      <c r="AH5" s="30">
        <v>44042</v>
      </c>
      <c r="AI5" s="24" t="s">
        <v>233</v>
      </c>
      <c r="AJ5" s="30">
        <v>43979</v>
      </c>
      <c r="AK5" s="30">
        <v>44589</v>
      </c>
      <c r="AL5" s="24" t="s">
        <v>196</v>
      </c>
      <c r="AM5" s="30">
        <v>44000</v>
      </c>
      <c r="AN5" s="30">
        <v>44722</v>
      </c>
      <c r="AO5" s="24" t="s">
        <v>214</v>
      </c>
      <c r="AP5" s="30">
        <v>44746</v>
      </c>
      <c r="AQ5" s="30">
        <v>44811</v>
      </c>
      <c r="AR5" s="24" t="s">
        <v>224</v>
      </c>
      <c r="AS5" s="30">
        <v>44746</v>
      </c>
      <c r="AT5" s="30">
        <v>44902</v>
      </c>
      <c r="AU5" s="24"/>
      <c r="AV5" s="30"/>
      <c r="AW5" s="24"/>
      <c r="AX5" s="24"/>
      <c r="AY5" s="24"/>
      <c r="AZ5" s="24"/>
      <c r="BA5" s="24"/>
      <c r="BB5" s="24"/>
      <c r="BC5" s="31"/>
      <c r="BD5" s="24"/>
      <c r="BE5" s="24"/>
      <c r="BF5" s="24"/>
      <c r="BG5" s="24"/>
      <c r="BH5" s="24"/>
      <c r="BI5" s="24"/>
      <c r="BJ5" s="24"/>
      <c r="BK5" s="24"/>
      <c r="BL5" s="24"/>
    </row>
    <row r="6" spans="1:64" x14ac:dyDescent="0.2">
      <c r="A6" s="6" t="s">
        <v>37</v>
      </c>
      <c r="B6" s="9" t="s">
        <v>19</v>
      </c>
      <c r="C6" s="10">
        <v>43906</v>
      </c>
      <c r="D6" s="10">
        <v>43955</v>
      </c>
      <c r="E6" s="10">
        <v>44034</v>
      </c>
      <c r="F6" s="10">
        <v>44112</v>
      </c>
      <c r="G6" s="1" t="s">
        <v>20</v>
      </c>
      <c r="H6" s="1" t="s">
        <v>20</v>
      </c>
      <c r="I6" s="9">
        <v>72</v>
      </c>
      <c r="J6" s="9" t="s">
        <v>21</v>
      </c>
      <c r="K6" s="9" t="s">
        <v>22</v>
      </c>
      <c r="L6" s="9" t="s">
        <v>192</v>
      </c>
      <c r="M6" s="9"/>
      <c r="N6" s="10">
        <v>46051</v>
      </c>
      <c r="O6" s="12">
        <f t="shared" ref="O6:O7" si="1">N6-R6</f>
        <v>2141</v>
      </c>
      <c r="P6" s="9" t="s">
        <v>23</v>
      </c>
      <c r="Q6" s="9" t="s">
        <v>193</v>
      </c>
      <c r="R6" s="10">
        <v>43910</v>
      </c>
      <c r="S6" s="10">
        <v>43910</v>
      </c>
      <c r="T6" s="9">
        <v>1</v>
      </c>
      <c r="U6" s="9">
        <v>20</v>
      </c>
      <c r="V6" s="9" t="s">
        <v>24</v>
      </c>
      <c r="W6" s="9">
        <v>20</v>
      </c>
      <c r="X6" s="9">
        <v>20</v>
      </c>
      <c r="Y6" s="12" t="s">
        <v>25</v>
      </c>
      <c r="Z6" s="9">
        <v>1</v>
      </c>
      <c r="AA6" s="9">
        <v>90</v>
      </c>
      <c r="AB6" s="9"/>
      <c r="AC6" s="9" t="s">
        <v>26</v>
      </c>
      <c r="AD6" s="9">
        <v>1</v>
      </c>
      <c r="AE6" s="9" t="s">
        <v>38</v>
      </c>
      <c r="AF6" s="24" t="s">
        <v>234</v>
      </c>
      <c r="AG6" s="30">
        <v>43307</v>
      </c>
      <c r="AH6" s="30">
        <v>43376</v>
      </c>
      <c r="AI6" s="24" t="s">
        <v>189</v>
      </c>
      <c r="AJ6" s="30">
        <v>43307</v>
      </c>
      <c r="AK6" s="30">
        <v>43383</v>
      </c>
      <c r="AL6" s="24" t="s">
        <v>235</v>
      </c>
      <c r="AM6" s="30">
        <v>44253</v>
      </c>
      <c r="AN6" s="30">
        <v>44324</v>
      </c>
      <c r="AO6" s="24" t="s">
        <v>224</v>
      </c>
      <c r="AP6" s="30">
        <v>44253</v>
      </c>
      <c r="AQ6" s="30">
        <v>44648</v>
      </c>
      <c r="AR6" s="24" t="s">
        <v>225</v>
      </c>
      <c r="AS6" s="30">
        <v>45114</v>
      </c>
      <c r="AT6" s="30">
        <v>45184</v>
      </c>
      <c r="AU6" s="24" t="s">
        <v>196</v>
      </c>
      <c r="AV6" s="30">
        <v>45114</v>
      </c>
      <c r="AW6" s="30">
        <v>45446</v>
      </c>
      <c r="AX6" s="24" t="s">
        <v>190</v>
      </c>
      <c r="AY6" s="30">
        <v>45489</v>
      </c>
      <c r="AZ6" s="30">
        <v>45554</v>
      </c>
      <c r="BA6" s="24" t="s">
        <v>247</v>
      </c>
      <c r="BB6" s="30">
        <v>45489</v>
      </c>
      <c r="BC6" s="32">
        <v>45618</v>
      </c>
      <c r="BD6" s="24" t="s">
        <v>187</v>
      </c>
      <c r="BE6" s="30">
        <v>45716</v>
      </c>
      <c r="BF6" s="30">
        <v>45863</v>
      </c>
      <c r="BG6" s="24" t="s">
        <v>225</v>
      </c>
      <c r="BH6" s="30">
        <v>46010</v>
      </c>
      <c r="BI6" s="24" t="s">
        <v>199</v>
      </c>
      <c r="BJ6" s="24"/>
      <c r="BK6" s="24"/>
      <c r="BL6" s="24"/>
    </row>
    <row r="7" spans="1:64" x14ac:dyDescent="0.2">
      <c r="A7" s="6" t="s">
        <v>39</v>
      </c>
      <c r="B7" s="7" t="s">
        <v>19</v>
      </c>
      <c r="C7" s="8">
        <v>44144</v>
      </c>
      <c r="D7" s="8">
        <v>44251</v>
      </c>
      <c r="E7" s="8">
        <v>44420</v>
      </c>
      <c r="F7" s="8">
        <v>44501</v>
      </c>
      <c r="G7" s="8">
        <v>44630</v>
      </c>
      <c r="H7" s="11">
        <v>44734</v>
      </c>
      <c r="I7" s="7">
        <v>72</v>
      </c>
      <c r="J7" s="7" t="s">
        <v>21</v>
      </c>
      <c r="K7" s="7" t="s">
        <v>22</v>
      </c>
      <c r="L7" s="7" t="s">
        <v>192</v>
      </c>
      <c r="M7" s="7"/>
      <c r="N7" s="8">
        <v>46051</v>
      </c>
      <c r="O7" s="12">
        <f t="shared" si="1"/>
        <v>1903</v>
      </c>
      <c r="P7" s="7" t="s">
        <v>23</v>
      </c>
      <c r="Q7" s="7" t="s">
        <v>193</v>
      </c>
      <c r="R7" s="8">
        <v>44148</v>
      </c>
      <c r="S7" s="8">
        <v>44148</v>
      </c>
      <c r="T7" s="7">
        <v>1</v>
      </c>
      <c r="U7" s="7">
        <v>20</v>
      </c>
      <c r="V7" s="7" t="s">
        <v>24</v>
      </c>
      <c r="W7" s="7">
        <v>20</v>
      </c>
      <c r="X7" s="7">
        <v>20</v>
      </c>
      <c r="Y7" s="12" t="s">
        <v>25</v>
      </c>
      <c r="Z7" s="7">
        <v>1</v>
      </c>
      <c r="AA7" s="7">
        <v>90</v>
      </c>
      <c r="AB7" s="7"/>
      <c r="AC7" s="7" t="s">
        <v>31</v>
      </c>
      <c r="AD7" s="9">
        <v>3</v>
      </c>
      <c r="AE7" s="9" t="s">
        <v>40</v>
      </c>
      <c r="AF7" s="24" t="s">
        <v>234</v>
      </c>
      <c r="AG7" s="30">
        <v>43307</v>
      </c>
      <c r="AH7" s="30">
        <v>43376</v>
      </c>
      <c r="AI7" s="24" t="s">
        <v>189</v>
      </c>
      <c r="AJ7" s="30">
        <v>43307</v>
      </c>
      <c r="AK7" s="30">
        <v>43383</v>
      </c>
      <c r="AL7" s="24" t="s">
        <v>235</v>
      </c>
      <c r="AM7" s="30">
        <v>44253</v>
      </c>
      <c r="AN7" s="30">
        <v>44324</v>
      </c>
      <c r="AO7" s="24" t="s">
        <v>224</v>
      </c>
      <c r="AP7" s="30">
        <v>44253</v>
      </c>
      <c r="AQ7" s="30">
        <v>44648</v>
      </c>
      <c r="AR7" s="24" t="s">
        <v>225</v>
      </c>
      <c r="AS7" s="30">
        <v>45114</v>
      </c>
      <c r="AT7" s="30">
        <v>45184</v>
      </c>
      <c r="AU7" s="24" t="s">
        <v>196</v>
      </c>
      <c r="AV7" s="30">
        <v>45114</v>
      </c>
      <c r="AW7" s="30">
        <v>45446</v>
      </c>
      <c r="AX7" s="24" t="s">
        <v>190</v>
      </c>
      <c r="AY7" s="30">
        <v>45489</v>
      </c>
      <c r="AZ7" s="30">
        <v>45554</v>
      </c>
      <c r="BA7" s="24" t="s">
        <v>247</v>
      </c>
      <c r="BB7" s="30">
        <v>45489</v>
      </c>
      <c r="BC7" s="32">
        <v>45618</v>
      </c>
      <c r="BD7" s="24" t="s">
        <v>187</v>
      </c>
      <c r="BE7" s="30">
        <v>45716</v>
      </c>
      <c r="BF7" s="30">
        <v>45863</v>
      </c>
      <c r="BG7" s="24" t="s">
        <v>225</v>
      </c>
      <c r="BH7" s="30">
        <v>46010</v>
      </c>
      <c r="BI7" s="24" t="s">
        <v>199</v>
      </c>
      <c r="BJ7" s="24"/>
      <c r="BK7" s="24"/>
      <c r="BL7" s="24"/>
    </row>
    <row r="8" spans="1:64" x14ac:dyDescent="0.2">
      <c r="A8" s="6" t="s">
        <v>41</v>
      </c>
      <c r="B8" s="9" t="s">
        <v>19</v>
      </c>
      <c r="C8" s="10">
        <v>44536</v>
      </c>
      <c r="D8" s="10">
        <v>44582</v>
      </c>
      <c r="E8" s="10">
        <v>44685</v>
      </c>
      <c r="F8" s="1" t="s">
        <v>20</v>
      </c>
      <c r="G8" s="1" t="s">
        <v>20</v>
      </c>
      <c r="H8" s="1" t="s">
        <v>20</v>
      </c>
      <c r="I8" s="9">
        <v>82</v>
      </c>
      <c r="J8" s="9" t="s">
        <v>21</v>
      </c>
      <c r="K8" s="9" t="s">
        <v>22</v>
      </c>
      <c r="L8" s="9" t="s">
        <v>179</v>
      </c>
      <c r="M8" s="10">
        <v>44718</v>
      </c>
      <c r="N8" s="9"/>
      <c r="O8" s="7">
        <f t="shared" ref="O8:O9" si="2">M8-R8</f>
        <v>178</v>
      </c>
      <c r="P8" s="9" t="s">
        <v>23</v>
      </c>
      <c r="Q8" s="9" t="s">
        <v>193</v>
      </c>
      <c r="R8" s="10">
        <v>44540</v>
      </c>
      <c r="S8" s="10">
        <v>44540</v>
      </c>
      <c r="T8" s="9">
        <v>1</v>
      </c>
      <c r="U8" s="9">
        <v>20</v>
      </c>
      <c r="V8" s="9" t="s">
        <v>24</v>
      </c>
      <c r="W8" s="9">
        <v>20</v>
      </c>
      <c r="X8" s="9">
        <v>20</v>
      </c>
      <c r="Y8" s="12" t="s">
        <v>25</v>
      </c>
      <c r="Z8" s="9">
        <v>1</v>
      </c>
      <c r="AA8" s="9">
        <v>80</v>
      </c>
      <c r="AB8" s="9" t="s">
        <v>42</v>
      </c>
      <c r="AC8" s="9" t="s">
        <v>31</v>
      </c>
      <c r="AD8" s="9">
        <v>2</v>
      </c>
      <c r="AE8" s="9" t="s">
        <v>43</v>
      </c>
      <c r="AF8" s="12" t="s">
        <v>216</v>
      </c>
      <c r="AG8" s="11">
        <v>44337</v>
      </c>
      <c r="AH8" s="11">
        <v>44400</v>
      </c>
      <c r="AI8" s="12" t="s">
        <v>224</v>
      </c>
      <c r="AJ8" s="11">
        <v>44337</v>
      </c>
      <c r="AK8" s="11">
        <v>44636</v>
      </c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33"/>
      <c r="BD8" s="24"/>
      <c r="BE8" s="24"/>
      <c r="BF8" s="24"/>
      <c r="BG8" s="24"/>
      <c r="BH8" s="24"/>
      <c r="BI8" s="24"/>
      <c r="BJ8" s="24"/>
      <c r="BK8" s="24"/>
      <c r="BL8" s="24"/>
    </row>
    <row r="9" spans="1:64" x14ac:dyDescent="0.2">
      <c r="A9" s="6" t="s">
        <v>44</v>
      </c>
      <c r="B9" s="7" t="s">
        <v>19</v>
      </c>
      <c r="C9" s="8">
        <v>43801</v>
      </c>
      <c r="D9" s="8">
        <v>43843</v>
      </c>
      <c r="E9" s="8">
        <v>43908</v>
      </c>
      <c r="F9" s="2" t="s">
        <v>20</v>
      </c>
      <c r="G9" s="2" t="s">
        <v>20</v>
      </c>
      <c r="H9" s="2" t="s">
        <v>20</v>
      </c>
      <c r="I9" s="7">
        <v>64</v>
      </c>
      <c r="J9" s="7" t="s">
        <v>21</v>
      </c>
      <c r="K9" s="7" t="s">
        <v>22</v>
      </c>
      <c r="L9" s="7" t="s">
        <v>179</v>
      </c>
      <c r="M9" s="8">
        <v>43965</v>
      </c>
      <c r="N9" s="7"/>
      <c r="O9" s="7">
        <f t="shared" si="2"/>
        <v>160</v>
      </c>
      <c r="P9" s="7" t="s">
        <v>23</v>
      </c>
      <c r="Q9" s="7" t="s">
        <v>193</v>
      </c>
      <c r="R9" s="8">
        <v>43805</v>
      </c>
      <c r="S9" s="8">
        <v>43805</v>
      </c>
      <c r="T9" s="7">
        <v>1</v>
      </c>
      <c r="U9" s="7">
        <v>20</v>
      </c>
      <c r="V9" s="7" t="s">
        <v>24</v>
      </c>
      <c r="W9" s="7">
        <v>20</v>
      </c>
      <c r="X9" s="7">
        <v>20</v>
      </c>
      <c r="Y9" s="12" t="s">
        <v>25</v>
      </c>
      <c r="Z9" s="7">
        <v>1</v>
      </c>
      <c r="AA9" s="7">
        <v>90</v>
      </c>
      <c r="AB9" s="7"/>
      <c r="AC9" s="7"/>
      <c r="AD9" s="9">
        <v>1</v>
      </c>
      <c r="AE9" s="9" t="s">
        <v>45</v>
      </c>
      <c r="AF9" s="13" t="s">
        <v>214</v>
      </c>
      <c r="AG9" s="18">
        <v>43812</v>
      </c>
      <c r="AH9" s="18">
        <v>43813</v>
      </c>
      <c r="AI9" s="13" t="s">
        <v>233</v>
      </c>
      <c r="AJ9" s="8">
        <v>43812</v>
      </c>
      <c r="AK9" s="8">
        <v>43901</v>
      </c>
      <c r="AL9" s="13" t="s">
        <v>196</v>
      </c>
      <c r="AM9" s="8">
        <v>43812</v>
      </c>
      <c r="AN9" s="8">
        <v>43931</v>
      </c>
      <c r="AO9" s="13" t="s">
        <v>216</v>
      </c>
      <c r="AP9" s="8">
        <v>43859</v>
      </c>
      <c r="AQ9" s="8">
        <v>43901</v>
      </c>
      <c r="AR9" s="13"/>
      <c r="AS9" s="7"/>
      <c r="AT9" s="7"/>
      <c r="AU9" s="13"/>
      <c r="AV9" s="7"/>
      <c r="AW9" s="7"/>
      <c r="AX9" s="13"/>
      <c r="AY9" s="7"/>
      <c r="AZ9" s="7"/>
      <c r="BA9" s="13"/>
      <c r="BB9" s="7"/>
      <c r="BC9" s="34"/>
      <c r="BD9" s="24"/>
      <c r="BE9" s="24"/>
      <c r="BF9" s="24"/>
      <c r="BG9" s="24"/>
      <c r="BH9" s="24"/>
      <c r="BI9" s="24"/>
      <c r="BJ9" s="24"/>
      <c r="BK9" s="24"/>
      <c r="BL9" s="24"/>
    </row>
    <row r="10" spans="1:64" x14ac:dyDescent="0.2">
      <c r="A10" s="6" t="s">
        <v>46</v>
      </c>
      <c r="B10" s="7" t="s">
        <v>19</v>
      </c>
      <c r="C10" s="8">
        <v>44480</v>
      </c>
      <c r="D10" s="8">
        <v>44529</v>
      </c>
      <c r="E10" s="8">
        <v>44643</v>
      </c>
      <c r="F10" s="1" t="s">
        <v>20</v>
      </c>
      <c r="G10" s="1" t="s">
        <v>20</v>
      </c>
      <c r="H10" s="1" t="s">
        <v>20</v>
      </c>
      <c r="I10" s="7">
        <v>61</v>
      </c>
      <c r="J10" s="7" t="s">
        <v>21</v>
      </c>
      <c r="K10" s="7" t="s">
        <v>22</v>
      </c>
      <c r="L10" s="7" t="s">
        <v>192</v>
      </c>
      <c r="M10" s="7"/>
      <c r="N10" s="8">
        <v>45971</v>
      </c>
      <c r="O10" s="12">
        <f>N10-R10</f>
        <v>1489</v>
      </c>
      <c r="P10" s="7" t="s">
        <v>23</v>
      </c>
      <c r="Q10" s="7" t="s">
        <v>193</v>
      </c>
      <c r="R10" s="8">
        <v>44482</v>
      </c>
      <c r="S10" s="8">
        <v>44482</v>
      </c>
      <c r="T10" s="7">
        <v>1</v>
      </c>
      <c r="U10" s="7">
        <v>20</v>
      </c>
      <c r="V10" s="7" t="s">
        <v>24</v>
      </c>
      <c r="W10" s="7">
        <v>20</v>
      </c>
      <c r="X10" s="7">
        <v>20</v>
      </c>
      <c r="Y10" s="12" t="s">
        <v>25</v>
      </c>
      <c r="Z10" s="7">
        <v>1</v>
      </c>
      <c r="AA10" s="7">
        <v>80</v>
      </c>
      <c r="AB10" s="7"/>
      <c r="AC10" s="7" t="s">
        <v>31</v>
      </c>
      <c r="AD10" s="9">
        <v>1</v>
      </c>
      <c r="AE10" s="9" t="s">
        <v>47</v>
      </c>
      <c r="AF10" s="13" t="s">
        <v>196</v>
      </c>
      <c r="AG10" s="18">
        <v>43997</v>
      </c>
      <c r="AH10" s="18">
        <v>44396</v>
      </c>
      <c r="AI10" s="13"/>
      <c r="AJ10" s="7"/>
      <c r="AK10" s="7"/>
      <c r="AL10" s="13"/>
      <c r="AM10" s="7"/>
      <c r="AN10" s="7"/>
      <c r="AO10" s="13"/>
      <c r="AP10" s="7"/>
      <c r="AQ10" s="7"/>
      <c r="AR10" s="13"/>
      <c r="AS10" s="7"/>
      <c r="AT10" s="7"/>
      <c r="AU10" s="13"/>
      <c r="AV10" s="7"/>
      <c r="AW10" s="7"/>
      <c r="AX10" s="13"/>
      <c r="AY10" s="7"/>
      <c r="AZ10" s="7"/>
      <c r="BA10" s="13"/>
      <c r="BB10" s="7"/>
      <c r="BC10" s="34"/>
      <c r="BD10" s="24"/>
      <c r="BE10" s="24"/>
      <c r="BF10" s="24"/>
      <c r="BG10" s="24"/>
      <c r="BH10" s="24"/>
      <c r="BI10" s="24"/>
      <c r="BJ10" s="24"/>
      <c r="BK10" s="24"/>
      <c r="BL10" s="24"/>
    </row>
    <row r="11" spans="1:64" x14ac:dyDescent="0.2">
      <c r="A11" s="6" t="s">
        <v>48</v>
      </c>
      <c r="B11" s="9" t="s">
        <v>19</v>
      </c>
      <c r="C11" s="10">
        <v>44480</v>
      </c>
      <c r="D11" s="10">
        <v>44529</v>
      </c>
      <c r="E11" s="10">
        <v>44643</v>
      </c>
      <c r="F11" s="1" t="s">
        <v>20</v>
      </c>
      <c r="G11" s="1" t="s">
        <v>20</v>
      </c>
      <c r="H11" s="1" t="s">
        <v>20</v>
      </c>
      <c r="I11" s="9">
        <v>61</v>
      </c>
      <c r="J11" s="9" t="s">
        <v>21</v>
      </c>
      <c r="K11" s="9" t="s">
        <v>22</v>
      </c>
      <c r="L11" s="9" t="s">
        <v>192</v>
      </c>
      <c r="M11" s="9"/>
      <c r="N11" s="10">
        <v>45971</v>
      </c>
      <c r="O11" s="12">
        <f>N11-R11</f>
        <v>1488</v>
      </c>
      <c r="P11" s="9" t="s">
        <v>49</v>
      </c>
      <c r="Q11" s="9" t="s">
        <v>184</v>
      </c>
      <c r="R11" s="10">
        <v>44483</v>
      </c>
      <c r="S11" s="10">
        <v>44491</v>
      </c>
      <c r="T11" s="9">
        <v>7</v>
      </c>
      <c r="U11" s="9">
        <v>5</v>
      </c>
      <c r="V11" s="9" t="s">
        <v>50</v>
      </c>
      <c r="W11" s="9">
        <v>5</v>
      </c>
      <c r="X11" s="9">
        <v>35</v>
      </c>
      <c r="Y11" s="12" t="s">
        <v>25</v>
      </c>
      <c r="Z11" s="9">
        <v>1</v>
      </c>
      <c r="AA11" s="9">
        <v>80</v>
      </c>
      <c r="AB11" s="9"/>
      <c r="AC11" s="9" t="s">
        <v>31</v>
      </c>
      <c r="AD11" s="9">
        <v>1</v>
      </c>
      <c r="AE11" s="9" t="s">
        <v>45</v>
      </c>
      <c r="AF11" s="13" t="s">
        <v>196</v>
      </c>
      <c r="AG11" s="18">
        <v>43997</v>
      </c>
      <c r="AH11" s="18">
        <v>44396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35"/>
      <c r="BD11" s="24"/>
      <c r="BE11" s="24"/>
      <c r="BF11" s="24"/>
      <c r="BG11" s="24"/>
      <c r="BH11" s="24"/>
      <c r="BI11" s="24"/>
      <c r="BJ11" s="24"/>
      <c r="BK11" s="24"/>
      <c r="BL11" s="24"/>
    </row>
    <row r="12" spans="1:64" x14ac:dyDescent="0.2">
      <c r="A12" s="14" t="s">
        <v>51</v>
      </c>
      <c r="B12" s="7" t="s">
        <v>19</v>
      </c>
      <c r="C12" s="8">
        <v>44546</v>
      </c>
      <c r="D12" s="8">
        <v>44594</v>
      </c>
      <c r="E12" s="8">
        <v>44651</v>
      </c>
      <c r="F12" s="9" t="s">
        <v>52</v>
      </c>
      <c r="G12" s="15">
        <v>44875</v>
      </c>
      <c r="H12" s="1" t="s">
        <v>20</v>
      </c>
      <c r="I12" s="7">
        <v>72</v>
      </c>
      <c r="J12" s="7" t="s">
        <v>53</v>
      </c>
      <c r="K12" s="7" t="s">
        <v>22</v>
      </c>
      <c r="L12" s="7" t="s">
        <v>192</v>
      </c>
      <c r="M12" s="7"/>
      <c r="N12" s="8">
        <v>46045</v>
      </c>
      <c r="O12" s="12">
        <f>N12-R12</f>
        <v>1495</v>
      </c>
      <c r="P12" s="7" t="s">
        <v>23</v>
      </c>
      <c r="Q12" s="7" t="s">
        <v>193</v>
      </c>
      <c r="R12" s="8">
        <v>44550</v>
      </c>
      <c r="S12" s="8">
        <v>44550</v>
      </c>
      <c r="T12" s="7">
        <v>1</v>
      </c>
      <c r="U12" s="7">
        <v>20</v>
      </c>
      <c r="V12" s="7" t="s">
        <v>24</v>
      </c>
      <c r="W12" s="7">
        <v>20</v>
      </c>
      <c r="X12" s="7">
        <v>20</v>
      </c>
      <c r="Y12" s="12" t="s">
        <v>25</v>
      </c>
      <c r="Z12" s="7">
        <v>1</v>
      </c>
      <c r="AA12" s="7">
        <v>80</v>
      </c>
      <c r="AB12" s="7" t="s">
        <v>54</v>
      </c>
      <c r="AC12" s="7" t="s">
        <v>31</v>
      </c>
      <c r="AD12" s="9">
        <v>1</v>
      </c>
      <c r="AE12" s="9" t="s">
        <v>55</v>
      </c>
      <c r="AF12" s="13" t="s">
        <v>246</v>
      </c>
      <c r="AG12" s="18">
        <v>41479</v>
      </c>
      <c r="AH12" s="18">
        <v>41547</v>
      </c>
      <c r="AI12" s="13" t="s">
        <v>200</v>
      </c>
      <c r="AJ12" s="8">
        <v>41568</v>
      </c>
      <c r="AK12" s="8">
        <v>41666</v>
      </c>
      <c r="AL12" s="13" t="s">
        <v>235</v>
      </c>
      <c r="AM12" s="8">
        <v>44361</v>
      </c>
      <c r="AN12" s="8">
        <v>44445</v>
      </c>
      <c r="AO12" s="13" t="s">
        <v>233</v>
      </c>
      <c r="AP12" s="8">
        <v>44361</v>
      </c>
      <c r="AQ12" s="8">
        <v>44529</v>
      </c>
      <c r="AR12" s="13" t="s">
        <v>196</v>
      </c>
      <c r="AS12" s="8">
        <v>44361</v>
      </c>
      <c r="AT12" s="8">
        <v>45352</v>
      </c>
      <c r="AU12" s="13" t="s">
        <v>196</v>
      </c>
      <c r="AV12" s="8">
        <v>45561</v>
      </c>
      <c r="AW12" s="8">
        <v>45945</v>
      </c>
      <c r="AX12" s="13"/>
      <c r="AY12" s="7"/>
      <c r="AZ12" s="7"/>
      <c r="BA12" s="13"/>
      <c r="BB12" s="7"/>
      <c r="BC12" s="34"/>
      <c r="BD12" s="24"/>
      <c r="BE12" s="24"/>
      <c r="BF12" s="24"/>
      <c r="BG12" s="24"/>
      <c r="BH12" s="24"/>
      <c r="BI12" s="24"/>
      <c r="BJ12" s="24"/>
      <c r="BK12" s="24"/>
      <c r="BL12" s="24"/>
    </row>
    <row r="13" spans="1:64" x14ac:dyDescent="0.2">
      <c r="A13" s="14" t="s">
        <v>56</v>
      </c>
      <c r="B13" s="7" t="s">
        <v>57</v>
      </c>
      <c r="C13" s="8">
        <v>44571</v>
      </c>
      <c r="D13" s="8">
        <v>44613</v>
      </c>
      <c r="E13" s="10">
        <v>44840</v>
      </c>
      <c r="F13" s="9" t="s">
        <v>58</v>
      </c>
      <c r="G13" s="9" t="s">
        <v>59</v>
      </c>
      <c r="H13" s="10">
        <v>44929</v>
      </c>
      <c r="I13" s="7">
        <v>63</v>
      </c>
      <c r="J13" s="7" t="s">
        <v>53</v>
      </c>
      <c r="K13" s="7" t="s">
        <v>22</v>
      </c>
      <c r="L13" s="7" t="s">
        <v>192</v>
      </c>
      <c r="M13" s="7"/>
      <c r="N13" s="8">
        <v>46051</v>
      </c>
      <c r="O13" s="12">
        <f>N13-R13</f>
        <v>1477</v>
      </c>
      <c r="P13" s="7" t="s">
        <v>23</v>
      </c>
      <c r="Q13" s="7" t="s">
        <v>193</v>
      </c>
      <c r="R13" s="8">
        <v>44574</v>
      </c>
      <c r="S13" s="8">
        <v>44574</v>
      </c>
      <c r="T13" s="7">
        <v>1</v>
      </c>
      <c r="U13" s="7">
        <v>20</v>
      </c>
      <c r="V13" s="7" t="s">
        <v>24</v>
      </c>
      <c r="W13" s="7">
        <v>20</v>
      </c>
      <c r="X13" s="7">
        <v>20</v>
      </c>
      <c r="Y13" s="12" t="s">
        <v>25</v>
      </c>
      <c r="Z13" s="7">
        <v>1</v>
      </c>
      <c r="AA13" s="7">
        <v>90</v>
      </c>
      <c r="AB13" s="7"/>
      <c r="AC13" s="7" t="s">
        <v>31</v>
      </c>
      <c r="AD13" s="9">
        <v>1</v>
      </c>
      <c r="AE13" s="9" t="s">
        <v>45</v>
      </c>
      <c r="AF13" s="13" t="s">
        <v>200</v>
      </c>
      <c r="AG13" s="18">
        <v>43685</v>
      </c>
      <c r="AH13" s="18">
        <v>43858</v>
      </c>
      <c r="AI13" s="13" t="s">
        <v>217</v>
      </c>
      <c r="AJ13" s="8">
        <v>43684</v>
      </c>
      <c r="AK13" s="8">
        <v>45986</v>
      </c>
      <c r="AL13" s="24" t="s">
        <v>251</v>
      </c>
      <c r="AM13" s="30">
        <v>43809</v>
      </c>
      <c r="AN13" s="24" t="s">
        <v>199</v>
      </c>
      <c r="AO13" s="13" t="s">
        <v>245</v>
      </c>
      <c r="AP13" s="8">
        <v>46007</v>
      </c>
      <c r="AQ13" s="7" t="s">
        <v>199</v>
      </c>
      <c r="AR13" s="13"/>
      <c r="AS13" s="7"/>
      <c r="AT13" s="7"/>
      <c r="AU13" s="13"/>
      <c r="AV13" s="7"/>
      <c r="AW13" s="7"/>
      <c r="AX13" s="13"/>
      <c r="AY13" s="7"/>
      <c r="AZ13" s="7"/>
      <c r="BA13" s="13"/>
      <c r="BB13" s="7"/>
      <c r="BC13" s="34"/>
      <c r="BD13" s="24"/>
      <c r="BE13" s="24"/>
      <c r="BF13" s="24"/>
      <c r="BG13" s="24"/>
      <c r="BH13" s="24"/>
      <c r="BI13" s="24"/>
      <c r="BJ13" s="24"/>
      <c r="BK13" s="24"/>
      <c r="BL13" s="24"/>
    </row>
    <row r="14" spans="1:64" x14ac:dyDescent="0.2">
      <c r="A14" s="6" t="s">
        <v>60</v>
      </c>
      <c r="B14" s="9" t="s">
        <v>19</v>
      </c>
      <c r="C14" s="10">
        <v>44530</v>
      </c>
      <c r="D14" s="10">
        <v>44571</v>
      </c>
      <c r="E14" s="10">
        <v>44683</v>
      </c>
      <c r="F14" s="10">
        <v>44872</v>
      </c>
      <c r="G14" s="1" t="s">
        <v>20</v>
      </c>
      <c r="H14" s="1" t="s">
        <v>20</v>
      </c>
      <c r="I14" s="9">
        <v>74</v>
      </c>
      <c r="J14" s="9" t="s">
        <v>21</v>
      </c>
      <c r="K14" s="9" t="s">
        <v>22</v>
      </c>
      <c r="L14" s="9" t="s">
        <v>179</v>
      </c>
      <c r="M14" s="10">
        <v>44783</v>
      </c>
      <c r="N14" s="9"/>
      <c r="O14" s="7">
        <f t="shared" ref="O14:O22" si="3">M14-R14</f>
        <v>251</v>
      </c>
      <c r="P14" s="9" t="s">
        <v>23</v>
      </c>
      <c r="Q14" s="9" t="s">
        <v>193</v>
      </c>
      <c r="R14" s="10">
        <v>44532</v>
      </c>
      <c r="S14" s="10">
        <v>44532</v>
      </c>
      <c r="T14" s="9">
        <v>1</v>
      </c>
      <c r="U14" s="9">
        <v>20</v>
      </c>
      <c r="V14" s="9" t="s">
        <v>24</v>
      </c>
      <c r="W14" s="9">
        <v>20</v>
      </c>
      <c r="X14" s="9">
        <v>20</v>
      </c>
      <c r="Y14" s="12" t="s">
        <v>25</v>
      </c>
      <c r="Z14" s="9">
        <v>2</v>
      </c>
      <c r="AA14" s="9">
        <v>70</v>
      </c>
      <c r="AB14" s="9" t="s">
        <v>61</v>
      </c>
      <c r="AC14" s="9" t="s">
        <v>31</v>
      </c>
      <c r="AD14" s="9">
        <v>3</v>
      </c>
      <c r="AE14" s="9" t="s">
        <v>62</v>
      </c>
      <c r="AF14" s="9" t="s">
        <v>186</v>
      </c>
      <c r="AG14" s="10">
        <v>44511</v>
      </c>
      <c r="AH14" s="10">
        <v>44599</v>
      </c>
      <c r="AI14" s="9" t="s">
        <v>196</v>
      </c>
      <c r="AJ14" s="10">
        <v>44599</v>
      </c>
      <c r="AK14" s="10">
        <v>44683</v>
      </c>
      <c r="AL14" s="9" t="s">
        <v>190</v>
      </c>
      <c r="AM14" s="10">
        <v>44757</v>
      </c>
      <c r="AN14" s="10">
        <v>44757</v>
      </c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35"/>
      <c r="BD14" s="24"/>
      <c r="BE14" s="24"/>
      <c r="BF14" s="24"/>
      <c r="BG14" s="24"/>
      <c r="BH14" s="24"/>
      <c r="BI14" s="24"/>
      <c r="BJ14" s="24"/>
      <c r="BK14" s="24"/>
      <c r="BL14" s="24"/>
    </row>
    <row r="15" spans="1:64" x14ac:dyDescent="0.2">
      <c r="A15" s="6" t="s">
        <v>63</v>
      </c>
      <c r="B15" s="9" t="s">
        <v>57</v>
      </c>
      <c r="C15" s="10">
        <v>44510</v>
      </c>
      <c r="D15" s="10">
        <v>44585</v>
      </c>
      <c r="E15" s="10">
        <v>44690</v>
      </c>
      <c r="F15" s="9" t="s">
        <v>64</v>
      </c>
      <c r="G15" s="9" t="s">
        <v>65</v>
      </c>
      <c r="H15" s="1" t="s">
        <v>20</v>
      </c>
      <c r="I15" s="9">
        <v>61</v>
      </c>
      <c r="J15" s="9" t="s">
        <v>53</v>
      </c>
      <c r="K15" s="9" t="s">
        <v>22</v>
      </c>
      <c r="L15" s="9" t="s">
        <v>192</v>
      </c>
      <c r="M15" s="9"/>
      <c r="N15" s="10">
        <v>46037</v>
      </c>
      <c r="O15" s="12">
        <f>N15-R15</f>
        <v>1520</v>
      </c>
      <c r="P15" s="9" t="s">
        <v>49</v>
      </c>
      <c r="Q15" s="9" t="s">
        <v>184</v>
      </c>
      <c r="R15" s="10">
        <v>44517</v>
      </c>
      <c r="S15" s="10">
        <v>44525</v>
      </c>
      <c r="T15" s="9">
        <v>7</v>
      </c>
      <c r="U15" s="9">
        <v>5</v>
      </c>
      <c r="V15" s="9" t="s">
        <v>50</v>
      </c>
      <c r="W15" s="9">
        <v>5</v>
      </c>
      <c r="X15" s="9">
        <v>35</v>
      </c>
      <c r="Y15" s="12" t="s">
        <v>25</v>
      </c>
      <c r="Z15" s="9">
        <v>2</v>
      </c>
      <c r="AA15" s="9">
        <v>80</v>
      </c>
      <c r="AB15" s="9" t="s">
        <v>66</v>
      </c>
      <c r="AC15" s="9" t="s">
        <v>31</v>
      </c>
      <c r="AD15" s="9">
        <v>1</v>
      </c>
      <c r="AE15" s="9" t="s">
        <v>67</v>
      </c>
      <c r="AF15" s="9" t="s">
        <v>200</v>
      </c>
      <c r="AG15" s="10">
        <v>43571</v>
      </c>
      <c r="AH15" s="10">
        <v>43719</v>
      </c>
      <c r="AI15" s="9" t="s">
        <v>217</v>
      </c>
      <c r="AJ15" s="10">
        <v>43577</v>
      </c>
      <c r="AK15" s="9" t="s">
        <v>206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35"/>
      <c r="BD15" s="24"/>
      <c r="BE15" s="24"/>
      <c r="BF15" s="24"/>
      <c r="BG15" s="24"/>
      <c r="BH15" s="24"/>
      <c r="BI15" s="24"/>
      <c r="BJ15" s="24"/>
      <c r="BK15" s="24"/>
      <c r="BL15" s="24"/>
    </row>
    <row r="16" spans="1:64" x14ac:dyDescent="0.2">
      <c r="A16" s="14" t="s">
        <v>68</v>
      </c>
      <c r="B16" s="7" t="s">
        <v>19</v>
      </c>
      <c r="C16" s="8">
        <v>44278</v>
      </c>
      <c r="D16" s="8">
        <v>44326</v>
      </c>
      <c r="E16" s="8">
        <v>44442</v>
      </c>
      <c r="F16" s="2" t="s">
        <v>20</v>
      </c>
      <c r="G16" s="2" t="s">
        <v>20</v>
      </c>
      <c r="H16" s="2" t="s">
        <v>20</v>
      </c>
      <c r="I16" s="7">
        <v>72</v>
      </c>
      <c r="J16" s="7" t="s">
        <v>69</v>
      </c>
      <c r="K16" s="7" t="s">
        <v>22</v>
      </c>
      <c r="L16" s="7" t="s">
        <v>179</v>
      </c>
      <c r="M16" s="8">
        <v>44645</v>
      </c>
      <c r="N16" s="7"/>
      <c r="O16" s="7">
        <f t="shared" si="3"/>
        <v>364</v>
      </c>
      <c r="P16" s="7" t="s">
        <v>23</v>
      </c>
      <c r="Q16" s="7" t="s">
        <v>193</v>
      </c>
      <c r="R16" s="8">
        <v>44281</v>
      </c>
      <c r="S16" s="8">
        <v>44281</v>
      </c>
      <c r="T16" s="7">
        <v>1</v>
      </c>
      <c r="U16" s="7">
        <v>20</v>
      </c>
      <c r="V16" s="7" t="s">
        <v>24</v>
      </c>
      <c r="W16" s="7">
        <v>20</v>
      </c>
      <c r="X16" s="7">
        <v>20</v>
      </c>
      <c r="Y16" s="12" t="s">
        <v>25</v>
      </c>
      <c r="Z16" s="7">
        <v>2</v>
      </c>
      <c r="AA16" s="7">
        <v>80</v>
      </c>
      <c r="AB16" s="7" t="s">
        <v>70</v>
      </c>
      <c r="AC16" s="7" t="s">
        <v>71</v>
      </c>
      <c r="AD16" s="9">
        <v>1</v>
      </c>
      <c r="AE16" s="9" t="s">
        <v>72</v>
      </c>
      <c r="AF16" s="13" t="s">
        <v>208</v>
      </c>
      <c r="AG16" s="18">
        <v>43748</v>
      </c>
      <c r="AH16" s="18">
        <v>43748</v>
      </c>
      <c r="AI16" s="13" t="s">
        <v>216</v>
      </c>
      <c r="AJ16" s="8">
        <v>44435</v>
      </c>
      <c r="AK16" s="8">
        <v>44469</v>
      </c>
      <c r="AL16" s="13" t="s">
        <v>196</v>
      </c>
      <c r="AM16" s="8">
        <v>44435</v>
      </c>
      <c r="AN16" s="8">
        <v>44490</v>
      </c>
      <c r="AO16" s="13" t="s">
        <v>187</v>
      </c>
      <c r="AP16" s="8">
        <v>44490</v>
      </c>
      <c r="AQ16" s="8">
        <v>44498</v>
      </c>
      <c r="AR16" s="13"/>
      <c r="AS16" s="7"/>
      <c r="AT16" s="7"/>
      <c r="AU16" s="13"/>
      <c r="AV16" s="7"/>
      <c r="AW16" s="7"/>
      <c r="AX16" s="13"/>
      <c r="AY16" s="7"/>
      <c r="AZ16" s="7"/>
      <c r="BA16" s="13"/>
      <c r="BB16" s="7"/>
      <c r="BC16" s="34"/>
      <c r="BD16" s="24"/>
      <c r="BE16" s="24"/>
      <c r="BF16" s="24"/>
      <c r="BG16" s="24"/>
      <c r="BH16" s="24"/>
      <c r="BI16" s="24"/>
      <c r="BJ16" s="24"/>
      <c r="BK16" s="24"/>
      <c r="BL16" s="24"/>
    </row>
    <row r="17" spans="1:64" x14ac:dyDescent="0.2">
      <c r="A17" s="14" t="s">
        <v>73</v>
      </c>
      <c r="B17" s="7" t="s">
        <v>57</v>
      </c>
      <c r="C17" s="8">
        <v>44082</v>
      </c>
      <c r="D17" s="8">
        <v>44138</v>
      </c>
      <c r="E17" s="8">
        <v>44249</v>
      </c>
      <c r="F17" s="8">
        <v>44372</v>
      </c>
      <c r="G17" s="8">
        <v>44473</v>
      </c>
      <c r="H17" s="8">
        <v>44581</v>
      </c>
      <c r="I17" s="7">
        <v>61</v>
      </c>
      <c r="J17" s="7" t="s">
        <v>53</v>
      </c>
      <c r="K17" s="7" t="s">
        <v>22</v>
      </c>
      <c r="L17" s="7" t="s">
        <v>192</v>
      </c>
      <c r="M17" s="7"/>
      <c r="N17" s="8">
        <v>46055</v>
      </c>
      <c r="O17" s="12">
        <f>N17-R17</f>
        <v>1967</v>
      </c>
      <c r="P17" s="7" t="s">
        <v>49</v>
      </c>
      <c r="Q17" s="7" t="s">
        <v>184</v>
      </c>
      <c r="R17" s="8">
        <v>44088</v>
      </c>
      <c r="S17" s="8">
        <v>44096</v>
      </c>
      <c r="T17" s="7">
        <v>7</v>
      </c>
      <c r="U17" s="7">
        <v>5</v>
      </c>
      <c r="V17" s="7" t="s">
        <v>50</v>
      </c>
      <c r="W17" s="7">
        <v>5</v>
      </c>
      <c r="X17" s="7">
        <v>35</v>
      </c>
      <c r="Y17" s="7" t="s">
        <v>25</v>
      </c>
      <c r="Z17" s="7">
        <v>2</v>
      </c>
      <c r="AA17" s="7">
        <v>80</v>
      </c>
      <c r="AB17" s="7" t="s">
        <v>74</v>
      </c>
      <c r="AC17" s="7" t="s">
        <v>26</v>
      </c>
      <c r="AD17" s="9">
        <v>2</v>
      </c>
      <c r="AE17" s="9" t="s">
        <v>75</v>
      </c>
      <c r="AF17" s="13" t="s">
        <v>200</v>
      </c>
      <c r="AG17" s="18">
        <v>43048</v>
      </c>
      <c r="AH17" s="18">
        <v>43181</v>
      </c>
      <c r="AI17" s="13" t="s">
        <v>217</v>
      </c>
      <c r="AJ17" s="8">
        <v>43055</v>
      </c>
      <c r="AK17" s="7" t="s">
        <v>199</v>
      </c>
      <c r="AL17" s="24" t="s">
        <v>252</v>
      </c>
      <c r="AM17" s="41">
        <v>43224</v>
      </c>
      <c r="AN17" s="8">
        <v>44095</v>
      </c>
      <c r="AO17" s="24" t="s">
        <v>253</v>
      </c>
      <c r="AP17" s="41">
        <v>44179</v>
      </c>
      <c r="AQ17" s="41">
        <v>45054</v>
      </c>
      <c r="AR17" s="13" t="s">
        <v>254</v>
      </c>
      <c r="AS17" s="8">
        <v>45117</v>
      </c>
      <c r="AT17" s="7" t="s">
        <v>199</v>
      </c>
      <c r="AU17" s="13"/>
      <c r="AV17" s="7"/>
      <c r="AW17" s="7"/>
      <c r="AX17" s="13"/>
      <c r="AY17" s="7"/>
      <c r="AZ17" s="7"/>
      <c r="BA17" s="13"/>
      <c r="BB17" s="7"/>
      <c r="BC17" s="34"/>
      <c r="BD17" s="24"/>
      <c r="BE17" s="24"/>
      <c r="BF17" s="24"/>
      <c r="BG17" s="24"/>
      <c r="BH17" s="24"/>
      <c r="BI17" s="24"/>
      <c r="BJ17" s="24"/>
      <c r="BK17" s="24"/>
      <c r="BL17" s="24"/>
    </row>
    <row r="18" spans="1:64" x14ac:dyDescent="0.2">
      <c r="A18" s="6" t="s">
        <v>76</v>
      </c>
      <c r="B18" s="9" t="s">
        <v>77</v>
      </c>
      <c r="C18" s="10">
        <v>43777</v>
      </c>
      <c r="D18" s="10">
        <v>43846</v>
      </c>
      <c r="E18" s="1" t="s">
        <v>20</v>
      </c>
      <c r="F18" s="1" t="s">
        <v>20</v>
      </c>
      <c r="G18" s="1" t="s">
        <v>20</v>
      </c>
      <c r="H18" s="1" t="s">
        <v>20</v>
      </c>
      <c r="I18" s="9">
        <v>64</v>
      </c>
      <c r="J18" s="9" t="s">
        <v>21</v>
      </c>
      <c r="K18" s="9" t="s">
        <v>22</v>
      </c>
      <c r="L18" s="9" t="s">
        <v>179</v>
      </c>
      <c r="M18" s="10">
        <v>43866</v>
      </c>
      <c r="N18" s="9"/>
      <c r="O18" s="7">
        <f t="shared" si="3"/>
        <v>82</v>
      </c>
      <c r="P18" s="9" t="s">
        <v>78</v>
      </c>
      <c r="Q18" s="9" t="s">
        <v>193</v>
      </c>
      <c r="R18" s="10">
        <v>43784</v>
      </c>
      <c r="S18" s="10">
        <v>43784</v>
      </c>
      <c r="T18" s="9">
        <v>1</v>
      </c>
      <c r="U18" s="9">
        <v>18</v>
      </c>
      <c r="V18" s="9" t="s">
        <v>29</v>
      </c>
      <c r="W18" s="9">
        <v>18</v>
      </c>
      <c r="X18" s="9">
        <v>18</v>
      </c>
      <c r="Y18" s="9" t="s">
        <v>25</v>
      </c>
      <c r="Z18" s="9">
        <v>2</v>
      </c>
      <c r="AA18" s="9">
        <v>70</v>
      </c>
      <c r="AB18" s="9" t="s">
        <v>79</v>
      </c>
      <c r="AC18" s="9" t="s">
        <v>80</v>
      </c>
      <c r="AD18" s="9">
        <v>1</v>
      </c>
      <c r="AE18" s="9" t="s">
        <v>81</v>
      </c>
      <c r="AF18" s="9" t="s">
        <v>242</v>
      </c>
      <c r="AG18" s="10">
        <v>42901</v>
      </c>
      <c r="AH18" s="10">
        <v>43006</v>
      </c>
      <c r="AI18" s="9" t="s">
        <v>243</v>
      </c>
      <c r="AJ18" s="10">
        <v>43052</v>
      </c>
      <c r="AK18" s="10">
        <v>43168</v>
      </c>
      <c r="AL18" s="9" t="s">
        <v>186</v>
      </c>
      <c r="AM18" s="10">
        <v>43255</v>
      </c>
      <c r="AN18" s="10">
        <v>43371</v>
      </c>
      <c r="AO18" s="9" t="s">
        <v>244</v>
      </c>
      <c r="AP18" s="10">
        <v>43570</v>
      </c>
      <c r="AQ18" s="10">
        <v>43699</v>
      </c>
      <c r="AR18" s="9" t="s">
        <v>196</v>
      </c>
      <c r="AS18" s="10">
        <v>43713</v>
      </c>
      <c r="AT18" s="10">
        <v>43844</v>
      </c>
      <c r="AU18" s="9"/>
      <c r="AV18" s="9"/>
      <c r="AW18" s="9"/>
      <c r="AX18" s="9"/>
      <c r="AY18" s="9"/>
      <c r="AZ18" s="9"/>
      <c r="BA18" s="9"/>
      <c r="BB18" s="9"/>
      <c r="BC18" s="35"/>
      <c r="BD18" s="24"/>
      <c r="BE18" s="24"/>
      <c r="BF18" s="24"/>
      <c r="BG18" s="24"/>
      <c r="BH18" s="24"/>
      <c r="BI18" s="24"/>
      <c r="BJ18" s="24"/>
      <c r="BK18" s="24"/>
      <c r="BL18" s="24"/>
    </row>
    <row r="19" spans="1:64" x14ac:dyDescent="0.2">
      <c r="A19" s="14" t="s">
        <v>82</v>
      </c>
      <c r="B19" s="7" t="s">
        <v>57</v>
      </c>
      <c r="C19" s="8">
        <v>44343</v>
      </c>
      <c r="D19" s="8">
        <v>44421</v>
      </c>
      <c r="E19" s="8">
        <v>44504</v>
      </c>
      <c r="F19" s="8">
        <v>44599</v>
      </c>
      <c r="G19" s="8">
        <v>44686</v>
      </c>
      <c r="H19" s="1" t="s">
        <v>20</v>
      </c>
      <c r="I19" s="7">
        <v>40</v>
      </c>
      <c r="J19" s="7" t="s">
        <v>53</v>
      </c>
      <c r="K19" s="7" t="s">
        <v>22</v>
      </c>
      <c r="L19" s="7" t="s">
        <v>192</v>
      </c>
      <c r="M19" s="7"/>
      <c r="N19" s="8">
        <v>45181</v>
      </c>
      <c r="O19" s="12">
        <f>N19-R19</f>
        <v>831</v>
      </c>
      <c r="P19" s="7" t="s">
        <v>23</v>
      </c>
      <c r="Q19" s="7" t="s">
        <v>193</v>
      </c>
      <c r="R19" s="8">
        <v>44350</v>
      </c>
      <c r="S19" s="8">
        <v>44350</v>
      </c>
      <c r="T19" s="7">
        <v>1</v>
      </c>
      <c r="U19" s="7">
        <v>20</v>
      </c>
      <c r="V19" s="7" t="s">
        <v>24</v>
      </c>
      <c r="W19" s="7">
        <v>20</v>
      </c>
      <c r="X19" s="7">
        <v>20</v>
      </c>
      <c r="Y19" s="12" t="s">
        <v>25</v>
      </c>
      <c r="Z19" s="7">
        <v>1</v>
      </c>
      <c r="AA19" s="7">
        <v>90</v>
      </c>
      <c r="AB19" s="7"/>
      <c r="AC19" s="7" t="s">
        <v>71</v>
      </c>
      <c r="AD19" s="9">
        <v>2</v>
      </c>
      <c r="AE19" s="9" t="s">
        <v>83</v>
      </c>
      <c r="AF19" s="13" t="s">
        <v>200</v>
      </c>
      <c r="AG19" s="18">
        <v>44076</v>
      </c>
      <c r="AH19" s="18">
        <v>44336</v>
      </c>
      <c r="AI19" s="13" t="s">
        <v>217</v>
      </c>
      <c r="AJ19" s="8">
        <v>44082</v>
      </c>
      <c r="AK19" s="8">
        <v>44414</v>
      </c>
      <c r="AL19" s="13" t="s">
        <v>240</v>
      </c>
      <c r="AM19" s="8">
        <v>44484</v>
      </c>
      <c r="AN19" s="8">
        <v>44596</v>
      </c>
      <c r="AO19" s="13" t="s">
        <v>218</v>
      </c>
      <c r="AP19" s="8">
        <v>44622</v>
      </c>
      <c r="AQ19" s="8">
        <v>45041</v>
      </c>
      <c r="AR19" s="13" t="s">
        <v>202</v>
      </c>
      <c r="AS19" s="8">
        <v>45070</v>
      </c>
      <c r="AT19" s="8">
        <v>45138</v>
      </c>
      <c r="AU19" s="13" t="s">
        <v>241</v>
      </c>
      <c r="AV19" s="8">
        <v>45072</v>
      </c>
      <c r="AW19" s="8">
        <v>45162</v>
      </c>
      <c r="AX19" s="13" t="s">
        <v>187</v>
      </c>
      <c r="AY19" s="8">
        <v>45167</v>
      </c>
      <c r="AZ19" s="8">
        <v>45167</v>
      </c>
      <c r="BA19" s="13"/>
      <c r="BB19" s="7"/>
      <c r="BC19" s="34"/>
      <c r="BD19" s="24"/>
      <c r="BE19" s="24"/>
      <c r="BF19" s="24"/>
      <c r="BG19" s="24"/>
      <c r="BH19" s="24"/>
      <c r="BI19" s="24"/>
      <c r="BJ19" s="24"/>
      <c r="BK19" s="24"/>
      <c r="BL19" s="24"/>
    </row>
    <row r="20" spans="1:64" x14ac:dyDescent="0.2">
      <c r="A20" s="6" t="s">
        <v>84</v>
      </c>
      <c r="B20" s="9" t="s">
        <v>19</v>
      </c>
      <c r="C20" s="10">
        <v>44151</v>
      </c>
      <c r="D20" s="16" t="s">
        <v>85</v>
      </c>
      <c r="E20" s="16" t="s">
        <v>86</v>
      </c>
      <c r="F20" s="16">
        <v>44199</v>
      </c>
      <c r="G20" s="1" t="s">
        <v>20</v>
      </c>
      <c r="H20" s="1" t="s">
        <v>20</v>
      </c>
      <c r="I20" s="9">
        <v>70</v>
      </c>
      <c r="J20" s="9" t="s">
        <v>53</v>
      </c>
      <c r="K20" s="9" t="s">
        <v>22</v>
      </c>
      <c r="L20" s="9" t="s">
        <v>179</v>
      </c>
      <c r="M20" s="10">
        <v>44276</v>
      </c>
      <c r="N20" s="9"/>
      <c r="O20" s="7">
        <f t="shared" si="3"/>
        <v>121</v>
      </c>
      <c r="P20" s="9" t="s">
        <v>23</v>
      </c>
      <c r="Q20" s="9" t="s">
        <v>193</v>
      </c>
      <c r="R20" s="10">
        <v>44155</v>
      </c>
      <c r="S20" s="10">
        <v>44155</v>
      </c>
      <c r="T20" s="9">
        <v>1</v>
      </c>
      <c r="U20" s="9">
        <v>20</v>
      </c>
      <c r="V20" s="9" t="s">
        <v>24</v>
      </c>
      <c r="W20" s="9">
        <v>20</v>
      </c>
      <c r="X20" s="9">
        <v>20</v>
      </c>
      <c r="Y20" s="9" t="s">
        <v>25</v>
      </c>
      <c r="Z20" s="9">
        <v>1</v>
      </c>
      <c r="AA20" s="9">
        <v>80</v>
      </c>
      <c r="AB20" s="9"/>
      <c r="AC20" s="9" t="s">
        <v>31</v>
      </c>
      <c r="AD20" s="9">
        <v>2</v>
      </c>
      <c r="AE20" s="9" t="s">
        <v>87</v>
      </c>
      <c r="AF20" s="9" t="s">
        <v>221</v>
      </c>
      <c r="AG20" s="10">
        <v>43630</v>
      </c>
      <c r="AH20" s="10">
        <v>44200</v>
      </c>
      <c r="AI20" s="9" t="s">
        <v>222</v>
      </c>
      <c r="AJ20" s="10">
        <v>44239</v>
      </c>
      <c r="AK20" s="10">
        <v>44267</v>
      </c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35"/>
      <c r="BD20" s="24"/>
      <c r="BE20" s="24"/>
      <c r="BF20" s="24"/>
      <c r="BG20" s="24"/>
      <c r="BH20" s="24"/>
      <c r="BI20" s="24"/>
      <c r="BJ20" s="24"/>
      <c r="BK20" s="24"/>
      <c r="BL20" s="24"/>
    </row>
    <row r="21" spans="1:64" x14ac:dyDescent="0.2">
      <c r="A21" s="14" t="s">
        <v>88</v>
      </c>
      <c r="B21" s="9" t="s">
        <v>57</v>
      </c>
      <c r="C21" s="8">
        <v>43795</v>
      </c>
      <c r="D21" s="8">
        <v>43847</v>
      </c>
      <c r="E21" s="8">
        <v>43935</v>
      </c>
      <c r="F21" s="8">
        <v>44028</v>
      </c>
      <c r="G21" s="8">
        <v>44117</v>
      </c>
      <c r="H21" s="2" t="s">
        <v>20</v>
      </c>
      <c r="I21" s="7">
        <v>39</v>
      </c>
      <c r="J21" s="7" t="s">
        <v>53</v>
      </c>
      <c r="K21" s="7" t="s">
        <v>22</v>
      </c>
      <c r="L21" s="7" t="s">
        <v>179</v>
      </c>
      <c r="M21" s="8">
        <v>45231</v>
      </c>
      <c r="N21" s="7"/>
      <c r="O21" s="7">
        <f t="shared" si="3"/>
        <v>1430</v>
      </c>
      <c r="P21" s="7" t="s">
        <v>89</v>
      </c>
      <c r="Q21" s="7" t="s">
        <v>184</v>
      </c>
      <c r="R21" s="8">
        <v>43801</v>
      </c>
      <c r="S21" s="8">
        <v>43809</v>
      </c>
      <c r="T21" s="7">
        <v>7</v>
      </c>
      <c r="U21" s="7">
        <v>5</v>
      </c>
      <c r="V21" s="7" t="s">
        <v>50</v>
      </c>
      <c r="W21" s="7">
        <v>5</v>
      </c>
      <c r="X21" s="7">
        <v>35</v>
      </c>
      <c r="Y21" s="7" t="s">
        <v>25</v>
      </c>
      <c r="Z21" s="7">
        <v>1</v>
      </c>
      <c r="AA21" s="7">
        <v>80</v>
      </c>
      <c r="AB21" s="7" t="s">
        <v>90</v>
      </c>
      <c r="AC21" s="7" t="s">
        <v>91</v>
      </c>
      <c r="AD21" s="9">
        <v>1</v>
      </c>
      <c r="AE21" s="9" t="s">
        <v>45</v>
      </c>
      <c r="AF21" s="9" t="s">
        <v>217</v>
      </c>
      <c r="AG21" s="10">
        <v>42972</v>
      </c>
      <c r="AH21" s="10">
        <v>44292</v>
      </c>
      <c r="AI21" s="9" t="s">
        <v>200</v>
      </c>
      <c r="AJ21" s="10">
        <v>42992</v>
      </c>
      <c r="AK21" s="10">
        <v>43243</v>
      </c>
      <c r="AL21" s="9" t="s">
        <v>240</v>
      </c>
      <c r="AM21" s="10">
        <v>44313</v>
      </c>
      <c r="AN21" s="10">
        <v>45107</v>
      </c>
      <c r="AO21" s="9" t="s">
        <v>202</v>
      </c>
      <c r="AP21" s="10">
        <v>45141</v>
      </c>
      <c r="AQ21" s="10">
        <v>45204</v>
      </c>
      <c r="AR21" s="13" t="s">
        <v>255</v>
      </c>
      <c r="AS21" s="8">
        <v>45141</v>
      </c>
      <c r="AT21" s="8">
        <v>45204</v>
      </c>
      <c r="AU21" s="13"/>
      <c r="AV21" s="7"/>
      <c r="AW21" s="7"/>
      <c r="AX21" s="13"/>
      <c r="AY21" s="7"/>
      <c r="AZ21" s="7"/>
      <c r="BA21" s="13"/>
      <c r="BB21" s="7"/>
      <c r="BC21" s="34"/>
      <c r="BD21" s="24"/>
      <c r="BE21" s="24"/>
      <c r="BF21" s="24"/>
      <c r="BG21" s="24"/>
      <c r="BH21" s="24"/>
      <c r="BI21" s="24"/>
      <c r="BJ21" s="24"/>
      <c r="BK21" s="24"/>
      <c r="BL21" s="24"/>
    </row>
    <row r="22" spans="1:64" x14ac:dyDescent="0.2">
      <c r="A22" s="6" t="s">
        <v>92</v>
      </c>
      <c r="B22" s="9" t="s">
        <v>57</v>
      </c>
      <c r="C22" s="10">
        <v>44137</v>
      </c>
      <c r="D22" s="10">
        <v>44179</v>
      </c>
      <c r="E22" s="10">
        <v>44266</v>
      </c>
      <c r="F22" s="10">
        <v>44313</v>
      </c>
      <c r="G22" s="10">
        <v>44386</v>
      </c>
      <c r="H22" s="10">
        <v>44480</v>
      </c>
      <c r="I22" s="9">
        <v>39</v>
      </c>
      <c r="J22" s="9" t="s">
        <v>53</v>
      </c>
      <c r="K22" s="9" t="s">
        <v>22</v>
      </c>
      <c r="L22" s="9" t="s">
        <v>179</v>
      </c>
      <c r="M22" s="10">
        <v>45231</v>
      </c>
      <c r="N22" s="9"/>
      <c r="O22" s="7">
        <f t="shared" si="3"/>
        <v>1090</v>
      </c>
      <c r="P22" s="9" t="s">
        <v>23</v>
      </c>
      <c r="Q22" s="9" t="s">
        <v>193</v>
      </c>
      <c r="R22" s="10">
        <v>44141</v>
      </c>
      <c r="S22" s="10">
        <v>44141</v>
      </c>
      <c r="T22" s="9">
        <v>1</v>
      </c>
      <c r="U22" s="9">
        <v>20</v>
      </c>
      <c r="V22" s="9" t="s">
        <v>24</v>
      </c>
      <c r="W22" s="9">
        <v>20</v>
      </c>
      <c r="X22" s="9">
        <v>20</v>
      </c>
      <c r="Y22" s="9" t="s">
        <v>25</v>
      </c>
      <c r="Z22" s="9">
        <v>1</v>
      </c>
      <c r="AA22" s="9">
        <v>80</v>
      </c>
      <c r="AB22" s="9" t="s">
        <v>90</v>
      </c>
      <c r="AC22" s="9" t="s">
        <v>31</v>
      </c>
      <c r="AD22" s="9">
        <v>1</v>
      </c>
      <c r="AE22" s="9" t="s">
        <v>93</v>
      </c>
      <c r="AF22" s="9" t="s">
        <v>217</v>
      </c>
      <c r="AG22" s="10">
        <v>42972</v>
      </c>
      <c r="AH22" s="10">
        <v>44292</v>
      </c>
      <c r="AI22" s="9" t="s">
        <v>200</v>
      </c>
      <c r="AJ22" s="10">
        <v>42992</v>
      </c>
      <c r="AK22" s="10">
        <v>43243</v>
      </c>
      <c r="AL22" s="9" t="s">
        <v>240</v>
      </c>
      <c r="AM22" s="10">
        <v>44313</v>
      </c>
      <c r="AN22" s="10">
        <v>45107</v>
      </c>
      <c r="AO22" s="9" t="s">
        <v>202</v>
      </c>
      <c r="AP22" s="10">
        <v>45141</v>
      </c>
      <c r="AQ22" s="10">
        <v>45204</v>
      </c>
      <c r="AR22" s="13" t="s">
        <v>255</v>
      </c>
      <c r="AS22" s="8">
        <v>45141</v>
      </c>
      <c r="AT22" s="8">
        <v>45204</v>
      </c>
      <c r="AU22" s="9"/>
      <c r="AV22" s="9"/>
      <c r="AW22" s="9"/>
      <c r="AX22" s="9"/>
      <c r="AY22" s="9"/>
      <c r="AZ22" s="9"/>
      <c r="BA22" s="9"/>
      <c r="BB22" s="9"/>
      <c r="BC22" s="35"/>
      <c r="BD22" s="24"/>
      <c r="BE22" s="24"/>
      <c r="BF22" s="24"/>
      <c r="BG22" s="24"/>
      <c r="BH22" s="24"/>
      <c r="BI22" s="24"/>
      <c r="BJ22" s="24"/>
      <c r="BK22" s="24"/>
      <c r="BL22" s="24"/>
    </row>
    <row r="23" spans="1:64" x14ac:dyDescent="0.2">
      <c r="A23" s="14" t="s">
        <v>94</v>
      </c>
      <c r="B23" s="9" t="s">
        <v>57</v>
      </c>
      <c r="C23" s="8">
        <v>44461</v>
      </c>
      <c r="D23" s="8">
        <v>44518</v>
      </c>
      <c r="E23" s="8">
        <v>44613</v>
      </c>
      <c r="F23" s="9" t="s">
        <v>95</v>
      </c>
      <c r="G23" s="9" t="s">
        <v>96</v>
      </c>
      <c r="H23" s="1" t="s">
        <v>20</v>
      </c>
      <c r="I23" s="7">
        <v>62</v>
      </c>
      <c r="J23" s="7" t="s">
        <v>53</v>
      </c>
      <c r="K23" s="7" t="s">
        <v>22</v>
      </c>
      <c r="L23" s="7" t="s">
        <v>192</v>
      </c>
      <c r="M23" s="7"/>
      <c r="N23" s="8">
        <v>46049</v>
      </c>
      <c r="O23" s="12">
        <f>N23-R23</f>
        <v>1583</v>
      </c>
      <c r="P23" s="7" t="s">
        <v>49</v>
      </c>
      <c r="Q23" s="7" t="s">
        <v>184</v>
      </c>
      <c r="R23" s="8">
        <v>44466</v>
      </c>
      <c r="S23" s="8">
        <v>44475</v>
      </c>
      <c r="T23" s="7">
        <v>7</v>
      </c>
      <c r="U23" s="7">
        <v>5</v>
      </c>
      <c r="V23" s="7" t="s">
        <v>50</v>
      </c>
      <c r="W23" s="7">
        <v>5</v>
      </c>
      <c r="X23" s="7">
        <v>35</v>
      </c>
      <c r="Y23" s="12" t="s">
        <v>25</v>
      </c>
      <c r="Z23" s="7">
        <v>2</v>
      </c>
      <c r="AA23" s="7">
        <v>80</v>
      </c>
      <c r="AB23" s="7" t="s">
        <v>97</v>
      </c>
      <c r="AC23" s="7" t="s">
        <v>71</v>
      </c>
      <c r="AD23" s="9">
        <v>1</v>
      </c>
      <c r="AE23" s="9" t="s">
        <v>98</v>
      </c>
      <c r="AF23" s="13" t="s">
        <v>200</v>
      </c>
      <c r="AG23" s="18">
        <v>43665</v>
      </c>
      <c r="AH23" s="18">
        <v>43805</v>
      </c>
      <c r="AI23" s="13" t="s">
        <v>217</v>
      </c>
      <c r="AJ23" s="8">
        <v>43672</v>
      </c>
      <c r="AK23" s="7" t="s">
        <v>199</v>
      </c>
      <c r="AL23" s="13"/>
      <c r="AM23" s="7"/>
      <c r="AN23" s="7"/>
      <c r="AO23" s="13"/>
      <c r="AP23" s="7"/>
      <c r="AQ23" s="7"/>
      <c r="AR23" s="13"/>
      <c r="AS23" s="7"/>
      <c r="AT23" s="7"/>
      <c r="AU23" s="13"/>
      <c r="AV23" s="7"/>
      <c r="AW23" s="7"/>
      <c r="AX23" s="13"/>
      <c r="AY23" s="7"/>
      <c r="AZ23" s="7"/>
      <c r="BA23" s="13"/>
      <c r="BB23" s="7"/>
      <c r="BC23" s="34"/>
      <c r="BD23" s="24"/>
      <c r="BE23" s="24"/>
      <c r="BF23" s="24"/>
      <c r="BG23" s="24"/>
      <c r="BH23" s="24"/>
      <c r="BI23" s="24"/>
      <c r="BJ23" s="24"/>
      <c r="BK23" s="24"/>
      <c r="BL23" s="24"/>
    </row>
    <row r="24" spans="1:64" x14ac:dyDescent="0.2">
      <c r="A24" s="6" t="s">
        <v>99</v>
      </c>
      <c r="B24" s="9" t="s">
        <v>57</v>
      </c>
      <c r="C24" s="10">
        <v>44060</v>
      </c>
      <c r="D24" s="10">
        <v>44104</v>
      </c>
      <c r="E24" s="10">
        <v>44238</v>
      </c>
      <c r="F24" s="10">
        <v>44327</v>
      </c>
      <c r="G24" s="10">
        <v>44417</v>
      </c>
      <c r="H24" s="10" t="s">
        <v>100</v>
      </c>
      <c r="I24" s="9">
        <v>52</v>
      </c>
      <c r="J24" s="9" t="s">
        <v>53</v>
      </c>
      <c r="K24" s="9" t="s">
        <v>22</v>
      </c>
      <c r="L24" s="9" t="s">
        <v>192</v>
      </c>
      <c r="M24" s="9"/>
      <c r="N24" s="10">
        <v>46045</v>
      </c>
      <c r="O24" s="12">
        <f>N24-R24</f>
        <v>1981</v>
      </c>
      <c r="P24" s="9" t="s">
        <v>101</v>
      </c>
      <c r="Q24" s="9" t="s">
        <v>193</v>
      </c>
      <c r="R24" s="10">
        <v>44064</v>
      </c>
      <c r="S24" s="10">
        <v>44064</v>
      </c>
      <c r="T24" s="9">
        <v>1</v>
      </c>
      <c r="U24" s="9">
        <v>20</v>
      </c>
      <c r="V24" s="9" t="s">
        <v>24</v>
      </c>
      <c r="W24" s="9">
        <v>20</v>
      </c>
      <c r="X24" s="9">
        <v>20</v>
      </c>
      <c r="Y24" s="9" t="s">
        <v>25</v>
      </c>
      <c r="Z24" s="9">
        <v>1</v>
      </c>
      <c r="AA24" s="9">
        <v>80</v>
      </c>
      <c r="AB24" s="9" t="s">
        <v>102</v>
      </c>
      <c r="AC24" s="9" t="s">
        <v>26</v>
      </c>
      <c r="AD24" s="9">
        <v>2</v>
      </c>
      <c r="AE24" s="9" t="s">
        <v>103</v>
      </c>
      <c r="AF24" s="9" t="s">
        <v>200</v>
      </c>
      <c r="AG24" s="10">
        <v>42727</v>
      </c>
      <c r="AH24" s="10">
        <v>43033</v>
      </c>
      <c r="AI24" s="9" t="s">
        <v>202</v>
      </c>
      <c r="AJ24" s="10">
        <v>42734</v>
      </c>
      <c r="AK24" s="7" t="s">
        <v>199</v>
      </c>
      <c r="AL24" s="9" t="s">
        <v>201</v>
      </c>
      <c r="AM24" s="10">
        <v>42759</v>
      </c>
      <c r="AN24" s="10" t="s">
        <v>199</v>
      </c>
      <c r="AO24" s="9" t="s">
        <v>251</v>
      </c>
      <c r="AP24" s="10">
        <v>42857</v>
      </c>
      <c r="AQ24" s="10" t="s">
        <v>199</v>
      </c>
      <c r="AR24" s="9" t="s">
        <v>253</v>
      </c>
      <c r="AS24" s="10">
        <v>43034</v>
      </c>
      <c r="AT24" s="10">
        <v>43894</v>
      </c>
      <c r="AU24" s="9" t="s">
        <v>252</v>
      </c>
      <c r="AV24" s="10">
        <v>43955</v>
      </c>
      <c r="AW24" s="9" t="s">
        <v>199</v>
      </c>
      <c r="AX24" s="9"/>
      <c r="AY24" s="9"/>
      <c r="AZ24" s="9"/>
      <c r="BA24" s="9"/>
      <c r="BB24" s="9"/>
      <c r="BC24" s="35"/>
      <c r="BD24" s="24"/>
      <c r="BE24" s="24"/>
      <c r="BF24" s="24"/>
      <c r="BG24" s="24"/>
      <c r="BH24" s="24"/>
      <c r="BI24" s="24"/>
      <c r="BJ24" s="24"/>
      <c r="BK24" s="24"/>
      <c r="BL24" s="24"/>
    </row>
    <row r="25" spans="1:64" x14ac:dyDescent="0.2">
      <c r="A25" s="14" t="s">
        <v>104</v>
      </c>
      <c r="B25" s="7" t="s">
        <v>19</v>
      </c>
      <c r="C25" s="8">
        <v>44578</v>
      </c>
      <c r="D25" s="8">
        <v>44629</v>
      </c>
      <c r="E25" s="9" t="s">
        <v>105</v>
      </c>
      <c r="F25" s="10">
        <v>44905</v>
      </c>
      <c r="G25" s="1" t="s">
        <v>20</v>
      </c>
      <c r="H25" s="1" t="s">
        <v>20</v>
      </c>
      <c r="I25" s="7">
        <v>57</v>
      </c>
      <c r="J25" s="7" t="s">
        <v>53</v>
      </c>
      <c r="K25" s="7" t="s">
        <v>22</v>
      </c>
      <c r="L25" s="7" t="s">
        <v>179</v>
      </c>
      <c r="M25" s="8">
        <v>45492</v>
      </c>
      <c r="N25" s="7"/>
      <c r="O25" s="7">
        <f t="shared" ref="O25:O28" si="4">M25-R25</f>
        <v>911</v>
      </c>
      <c r="P25" s="7" t="s">
        <v>23</v>
      </c>
      <c r="Q25" s="7" t="s">
        <v>193</v>
      </c>
      <c r="R25" s="8">
        <v>44581</v>
      </c>
      <c r="S25" s="8">
        <v>44581</v>
      </c>
      <c r="T25" s="7">
        <v>1</v>
      </c>
      <c r="U25" s="7">
        <v>20</v>
      </c>
      <c r="V25" s="7" t="s">
        <v>24</v>
      </c>
      <c r="W25" s="7">
        <v>20</v>
      </c>
      <c r="X25" s="7">
        <v>20</v>
      </c>
      <c r="Y25" s="12" t="s">
        <v>25</v>
      </c>
      <c r="Z25" s="7">
        <v>1</v>
      </c>
      <c r="AA25" s="7">
        <v>90</v>
      </c>
      <c r="AB25" s="7"/>
      <c r="AC25" s="7" t="s">
        <v>31</v>
      </c>
      <c r="AD25" s="9">
        <v>1</v>
      </c>
      <c r="AE25" s="9" t="s">
        <v>106</v>
      </c>
      <c r="AF25" s="9" t="s">
        <v>236</v>
      </c>
      <c r="AG25" s="10">
        <v>37936</v>
      </c>
      <c r="AH25" s="10">
        <v>38091</v>
      </c>
      <c r="AI25" s="9" t="s">
        <v>230</v>
      </c>
      <c r="AJ25" s="10">
        <v>38175</v>
      </c>
      <c r="AK25" s="10">
        <v>38840</v>
      </c>
      <c r="AL25" s="9" t="s">
        <v>194</v>
      </c>
      <c r="AM25" s="10">
        <v>42361</v>
      </c>
      <c r="AN25" s="10">
        <v>42473</v>
      </c>
      <c r="AO25" s="9" t="s">
        <v>231</v>
      </c>
      <c r="AP25" s="10">
        <v>42625</v>
      </c>
      <c r="AQ25" s="10">
        <v>43642</v>
      </c>
      <c r="AR25" s="9" t="s">
        <v>221</v>
      </c>
      <c r="AS25" s="10">
        <v>43682</v>
      </c>
      <c r="AT25" s="10">
        <v>45321</v>
      </c>
      <c r="AU25" s="13"/>
      <c r="AV25" s="7"/>
      <c r="AW25" s="7"/>
      <c r="AX25" s="13"/>
      <c r="AY25" s="7"/>
      <c r="AZ25" s="7"/>
      <c r="BA25" s="13"/>
      <c r="BB25" s="7"/>
      <c r="BC25" s="34"/>
      <c r="BD25" s="24"/>
      <c r="BE25" s="24"/>
      <c r="BF25" s="24"/>
      <c r="BG25" s="24"/>
      <c r="BH25" s="24"/>
      <c r="BI25" s="24"/>
      <c r="BJ25" s="24"/>
      <c r="BK25" s="24"/>
      <c r="BL25" s="24"/>
    </row>
    <row r="26" spans="1:64" x14ac:dyDescent="0.2">
      <c r="A26" s="6" t="s">
        <v>107</v>
      </c>
      <c r="B26" s="9" t="s">
        <v>19</v>
      </c>
      <c r="C26" s="10">
        <v>44109</v>
      </c>
      <c r="D26" s="10">
        <v>44151</v>
      </c>
      <c r="E26" s="10">
        <v>44239</v>
      </c>
      <c r="F26" s="10">
        <v>44340</v>
      </c>
      <c r="G26" s="10">
        <v>44389</v>
      </c>
      <c r="H26" s="10">
        <v>44481</v>
      </c>
      <c r="I26" s="9">
        <v>56</v>
      </c>
      <c r="J26" s="9" t="s">
        <v>53</v>
      </c>
      <c r="K26" s="9" t="s">
        <v>22</v>
      </c>
      <c r="L26" s="9" t="s">
        <v>179</v>
      </c>
      <c r="M26" s="10">
        <v>45492</v>
      </c>
      <c r="N26" s="9"/>
      <c r="O26" s="7">
        <f t="shared" si="4"/>
        <v>1381</v>
      </c>
      <c r="P26" s="9" t="s">
        <v>23</v>
      </c>
      <c r="Q26" s="9" t="s">
        <v>193</v>
      </c>
      <c r="R26" s="10">
        <v>44111</v>
      </c>
      <c r="S26" s="10">
        <v>44111</v>
      </c>
      <c r="T26" s="9">
        <v>1</v>
      </c>
      <c r="U26" s="9">
        <v>20</v>
      </c>
      <c r="V26" s="9" t="s">
        <v>24</v>
      </c>
      <c r="W26" s="9">
        <v>20</v>
      </c>
      <c r="X26" s="9">
        <v>20</v>
      </c>
      <c r="Y26" s="9" t="s">
        <v>25</v>
      </c>
      <c r="Z26" s="9">
        <v>1</v>
      </c>
      <c r="AA26" s="9">
        <v>90</v>
      </c>
      <c r="AB26" s="9"/>
      <c r="AC26" s="9" t="s">
        <v>26</v>
      </c>
      <c r="AD26" s="9">
        <v>1</v>
      </c>
      <c r="AE26" s="9" t="s">
        <v>108</v>
      </c>
      <c r="AF26" s="9" t="s">
        <v>236</v>
      </c>
      <c r="AG26" s="10">
        <v>37936</v>
      </c>
      <c r="AH26" s="10">
        <v>38091</v>
      </c>
      <c r="AI26" s="9" t="s">
        <v>230</v>
      </c>
      <c r="AJ26" s="10">
        <v>38175</v>
      </c>
      <c r="AK26" s="10">
        <v>38840</v>
      </c>
      <c r="AL26" s="9" t="s">
        <v>194</v>
      </c>
      <c r="AM26" s="10">
        <v>42361</v>
      </c>
      <c r="AN26" s="10">
        <v>42473</v>
      </c>
      <c r="AO26" s="9" t="s">
        <v>231</v>
      </c>
      <c r="AP26" s="10">
        <v>42625</v>
      </c>
      <c r="AQ26" s="10">
        <v>43642</v>
      </c>
      <c r="AR26" s="9" t="s">
        <v>221</v>
      </c>
      <c r="AS26" s="10">
        <v>43682</v>
      </c>
      <c r="AT26" s="10">
        <v>45321</v>
      </c>
      <c r="AU26" s="9"/>
      <c r="AV26" s="9"/>
      <c r="AW26" s="9"/>
      <c r="AX26" s="9"/>
      <c r="AY26" s="9"/>
      <c r="AZ26" s="9"/>
      <c r="BA26" s="9"/>
      <c r="BB26" s="9"/>
      <c r="BC26" s="35"/>
      <c r="BD26" s="24"/>
      <c r="BE26" s="24"/>
      <c r="BF26" s="24"/>
      <c r="BG26" s="24"/>
      <c r="BH26" s="24"/>
      <c r="BI26" s="24"/>
      <c r="BJ26" s="24"/>
      <c r="BK26" s="24"/>
      <c r="BL26" s="24"/>
    </row>
    <row r="27" spans="1:64" x14ac:dyDescent="0.2">
      <c r="A27" s="14" t="s">
        <v>109</v>
      </c>
      <c r="B27" s="7" t="s">
        <v>19</v>
      </c>
      <c r="C27" s="8">
        <v>44061</v>
      </c>
      <c r="D27" s="8">
        <v>44104</v>
      </c>
      <c r="E27" s="8">
        <v>44230</v>
      </c>
      <c r="F27" s="2" t="s">
        <v>20</v>
      </c>
      <c r="G27" s="2" t="s">
        <v>20</v>
      </c>
      <c r="H27" s="2" t="s">
        <v>20</v>
      </c>
      <c r="I27" s="7">
        <v>61</v>
      </c>
      <c r="J27" s="7" t="s">
        <v>21</v>
      </c>
      <c r="K27" s="7" t="s">
        <v>22</v>
      </c>
      <c r="L27" s="7" t="s">
        <v>179</v>
      </c>
      <c r="M27" s="8">
        <v>44352</v>
      </c>
      <c r="N27" s="7"/>
      <c r="O27" s="7">
        <f t="shared" si="4"/>
        <v>288</v>
      </c>
      <c r="P27" s="7" t="s">
        <v>23</v>
      </c>
      <c r="Q27" s="7" t="s">
        <v>193</v>
      </c>
      <c r="R27" s="8">
        <v>44064</v>
      </c>
      <c r="S27" s="8">
        <v>44064</v>
      </c>
      <c r="T27" s="7">
        <v>1</v>
      </c>
      <c r="U27" s="7">
        <v>20</v>
      </c>
      <c r="V27" s="7" t="s">
        <v>24</v>
      </c>
      <c r="W27" s="7">
        <v>20</v>
      </c>
      <c r="X27" s="7">
        <v>20</v>
      </c>
      <c r="Y27" s="7" t="s">
        <v>25</v>
      </c>
      <c r="Z27" s="7">
        <v>1</v>
      </c>
      <c r="AA27" s="7">
        <v>90</v>
      </c>
      <c r="AB27" s="7"/>
      <c r="AC27" s="7" t="s">
        <v>26</v>
      </c>
      <c r="AD27" s="9">
        <v>2</v>
      </c>
      <c r="AE27" s="9" t="s">
        <v>98</v>
      </c>
      <c r="AF27" s="13" t="s">
        <v>228</v>
      </c>
      <c r="AG27" s="18">
        <v>43647</v>
      </c>
      <c r="AH27" s="18">
        <v>43712</v>
      </c>
      <c r="AI27" s="13" t="s">
        <v>229</v>
      </c>
      <c r="AJ27" s="8">
        <v>44098</v>
      </c>
      <c r="AK27" s="8">
        <v>44266</v>
      </c>
      <c r="AL27" s="13"/>
      <c r="AM27" s="7"/>
      <c r="AN27" s="7"/>
      <c r="AO27" s="13"/>
      <c r="AP27" s="7"/>
      <c r="AQ27" s="7"/>
      <c r="AR27" s="13"/>
      <c r="AS27" s="7"/>
      <c r="AT27" s="7"/>
      <c r="AU27" s="13"/>
      <c r="AV27" s="7"/>
      <c r="AW27" s="7"/>
      <c r="AX27" s="13"/>
      <c r="AY27" s="7"/>
      <c r="AZ27" s="7"/>
      <c r="BA27" s="13"/>
      <c r="BB27" s="7"/>
      <c r="BC27" s="3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64" x14ac:dyDescent="0.2">
      <c r="A28" s="6" t="s">
        <v>110</v>
      </c>
      <c r="B28" s="9" t="s">
        <v>19</v>
      </c>
      <c r="C28" s="10">
        <v>44501</v>
      </c>
      <c r="D28" s="10">
        <v>44547</v>
      </c>
      <c r="E28" s="10">
        <v>44651</v>
      </c>
      <c r="F28" s="9" t="s">
        <v>111</v>
      </c>
      <c r="G28" s="10">
        <v>44905</v>
      </c>
      <c r="H28" s="1" t="s">
        <v>20</v>
      </c>
      <c r="I28" s="9">
        <v>55</v>
      </c>
      <c r="J28" s="9" t="s">
        <v>53</v>
      </c>
      <c r="K28" s="9" t="s">
        <v>22</v>
      </c>
      <c r="L28" s="9" t="s">
        <v>179</v>
      </c>
      <c r="M28" s="10">
        <v>45301</v>
      </c>
      <c r="N28" s="9"/>
      <c r="O28" s="7">
        <f t="shared" si="4"/>
        <v>796</v>
      </c>
      <c r="P28" s="9" t="s">
        <v>23</v>
      </c>
      <c r="Q28" s="9" t="s">
        <v>193</v>
      </c>
      <c r="R28" s="10">
        <v>44505</v>
      </c>
      <c r="S28" s="10">
        <v>44505</v>
      </c>
      <c r="T28" s="9">
        <v>1</v>
      </c>
      <c r="U28" s="9">
        <v>20</v>
      </c>
      <c r="V28" s="9" t="s">
        <v>24</v>
      </c>
      <c r="W28" s="9">
        <v>20</v>
      </c>
      <c r="X28" s="9">
        <v>20</v>
      </c>
      <c r="Y28" s="12" t="s">
        <v>25</v>
      </c>
      <c r="Z28" s="9">
        <v>1</v>
      </c>
      <c r="AA28" s="9">
        <v>90</v>
      </c>
      <c r="AB28" s="9"/>
      <c r="AC28" s="9" t="s">
        <v>31</v>
      </c>
      <c r="AD28" s="9">
        <v>1</v>
      </c>
      <c r="AE28" s="9" t="s">
        <v>112</v>
      </c>
      <c r="AF28" s="9" t="s">
        <v>223</v>
      </c>
      <c r="AG28" s="10">
        <v>43924</v>
      </c>
      <c r="AH28" s="10">
        <v>43945</v>
      </c>
      <c r="AI28" s="9" t="s">
        <v>226</v>
      </c>
      <c r="AJ28" s="10">
        <v>43978</v>
      </c>
      <c r="AK28" s="10">
        <v>44601</v>
      </c>
      <c r="AL28" s="9" t="s">
        <v>221</v>
      </c>
      <c r="AM28" s="10">
        <v>44636</v>
      </c>
      <c r="AN28" s="10">
        <v>45015</v>
      </c>
      <c r="AO28" s="9" t="s">
        <v>186</v>
      </c>
      <c r="AP28" s="10">
        <v>45035</v>
      </c>
      <c r="AQ28" s="10">
        <v>45099</v>
      </c>
      <c r="AR28" s="9" t="s">
        <v>227</v>
      </c>
      <c r="AS28" s="10">
        <v>45035</v>
      </c>
      <c r="AT28" s="10">
        <v>45161</v>
      </c>
      <c r="AU28" s="9"/>
      <c r="AV28" s="9"/>
      <c r="AW28" s="9"/>
      <c r="AX28" s="9"/>
      <c r="AY28" s="9"/>
      <c r="AZ28" s="9"/>
      <c r="BA28" s="9"/>
      <c r="BB28" s="9"/>
      <c r="BC28" s="35"/>
      <c r="BD28" s="24"/>
      <c r="BE28" s="24"/>
      <c r="BF28" s="24"/>
      <c r="BG28" s="24"/>
      <c r="BH28" s="24"/>
      <c r="BI28" s="24"/>
      <c r="BJ28" s="24"/>
      <c r="BK28" s="24"/>
      <c r="BL28" s="24"/>
    </row>
    <row r="29" spans="1:64" x14ac:dyDescent="0.2">
      <c r="A29" s="14" t="s">
        <v>113</v>
      </c>
      <c r="B29" s="7" t="s">
        <v>19</v>
      </c>
      <c r="C29" s="8">
        <v>43948</v>
      </c>
      <c r="D29" s="8">
        <v>43987</v>
      </c>
      <c r="E29" s="8">
        <v>44099</v>
      </c>
      <c r="F29" s="8">
        <v>44140</v>
      </c>
      <c r="G29" s="2" t="s">
        <v>20</v>
      </c>
      <c r="H29" s="2" t="s">
        <v>20</v>
      </c>
      <c r="I29" s="7">
        <v>73</v>
      </c>
      <c r="J29" s="7" t="s">
        <v>21</v>
      </c>
      <c r="K29" s="7" t="s">
        <v>22</v>
      </c>
      <c r="L29" s="7" t="s">
        <v>192</v>
      </c>
      <c r="M29" s="7"/>
      <c r="N29" s="8">
        <v>45989</v>
      </c>
      <c r="O29" s="12">
        <f>N29-R29</f>
        <v>2038</v>
      </c>
      <c r="P29" s="7" t="s">
        <v>23</v>
      </c>
      <c r="Q29" s="7" t="s">
        <v>193</v>
      </c>
      <c r="R29" s="8">
        <v>43951</v>
      </c>
      <c r="S29" s="8">
        <v>43951</v>
      </c>
      <c r="T29" s="7">
        <v>1</v>
      </c>
      <c r="U29" s="7">
        <v>20</v>
      </c>
      <c r="V29" s="7" t="s">
        <v>24</v>
      </c>
      <c r="W29" s="7">
        <v>20</v>
      </c>
      <c r="X29" s="7">
        <v>20</v>
      </c>
      <c r="Y29" s="7" t="s">
        <v>25</v>
      </c>
      <c r="Z29" s="7">
        <v>2</v>
      </c>
      <c r="AA29" s="7">
        <v>70</v>
      </c>
      <c r="AB29" s="7" t="s">
        <v>114</v>
      </c>
      <c r="AC29" s="7" t="s">
        <v>71</v>
      </c>
      <c r="AD29" s="9">
        <v>1</v>
      </c>
      <c r="AE29" s="9" t="s">
        <v>72</v>
      </c>
      <c r="AF29" s="9" t="s">
        <v>220</v>
      </c>
      <c r="AG29" s="10">
        <v>43752</v>
      </c>
      <c r="AH29" s="10">
        <v>43820</v>
      </c>
      <c r="AI29" s="9" t="s">
        <v>196</v>
      </c>
      <c r="AJ29" s="10">
        <v>43907</v>
      </c>
      <c r="AK29" s="10">
        <v>44657</v>
      </c>
      <c r="AL29" s="13"/>
      <c r="AM29" s="7"/>
      <c r="AN29" s="7"/>
      <c r="AO29" s="13"/>
      <c r="AP29" s="7"/>
      <c r="AQ29" s="7"/>
      <c r="AR29" s="13"/>
      <c r="AS29" s="7"/>
      <c r="AT29" s="7"/>
      <c r="AU29" s="13"/>
      <c r="AV29" s="7"/>
      <c r="AW29" s="7"/>
      <c r="AX29" s="13"/>
      <c r="AY29" s="7"/>
      <c r="AZ29" s="7"/>
      <c r="BA29" s="13"/>
      <c r="BB29" s="7"/>
      <c r="BC29" s="34"/>
      <c r="BD29" s="24"/>
      <c r="BE29" s="24"/>
      <c r="BF29" s="24"/>
      <c r="BG29" s="24"/>
      <c r="BH29" s="24"/>
      <c r="BI29" s="24"/>
      <c r="BJ29" s="24"/>
      <c r="BK29" s="24"/>
      <c r="BL29" s="24"/>
    </row>
    <row r="30" spans="1:64" x14ac:dyDescent="0.2">
      <c r="A30" s="6" t="s">
        <v>115</v>
      </c>
      <c r="B30" s="9" t="s">
        <v>19</v>
      </c>
      <c r="C30" s="10">
        <v>44151</v>
      </c>
      <c r="D30" s="10">
        <v>44194</v>
      </c>
      <c r="E30" s="10">
        <v>44244</v>
      </c>
      <c r="F30" s="10">
        <v>44291</v>
      </c>
      <c r="G30" s="2" t="s">
        <v>20</v>
      </c>
      <c r="H30" s="10">
        <v>44367</v>
      </c>
      <c r="I30" s="9">
        <v>73</v>
      </c>
      <c r="J30" s="9" t="s">
        <v>21</v>
      </c>
      <c r="K30" s="9" t="s">
        <v>22</v>
      </c>
      <c r="L30" s="9" t="s">
        <v>192</v>
      </c>
      <c r="M30" s="9"/>
      <c r="N30" s="10">
        <v>45989</v>
      </c>
      <c r="O30" s="12">
        <f>N30-R30</f>
        <v>1834</v>
      </c>
      <c r="P30" s="9" t="s">
        <v>23</v>
      </c>
      <c r="Q30" s="9" t="s">
        <v>193</v>
      </c>
      <c r="R30" s="10">
        <v>44155</v>
      </c>
      <c r="S30" s="10">
        <v>44155</v>
      </c>
      <c r="T30" s="9">
        <v>1</v>
      </c>
      <c r="U30" s="9">
        <v>20</v>
      </c>
      <c r="V30" s="9" t="s">
        <v>29</v>
      </c>
      <c r="W30" s="9">
        <v>20</v>
      </c>
      <c r="X30" s="9">
        <v>20</v>
      </c>
      <c r="Y30" s="9" t="s">
        <v>25</v>
      </c>
      <c r="Z30" s="9">
        <v>2</v>
      </c>
      <c r="AA30" s="9">
        <v>70</v>
      </c>
      <c r="AB30" s="9" t="s">
        <v>116</v>
      </c>
      <c r="AC30" s="9" t="s">
        <v>31</v>
      </c>
      <c r="AD30" s="9">
        <v>1</v>
      </c>
      <c r="AE30" s="9" t="s">
        <v>98</v>
      </c>
      <c r="AF30" s="9" t="s">
        <v>220</v>
      </c>
      <c r="AG30" s="10">
        <v>43752</v>
      </c>
      <c r="AH30" s="10">
        <v>43820</v>
      </c>
      <c r="AI30" s="9" t="s">
        <v>196</v>
      </c>
      <c r="AJ30" s="10">
        <v>43907</v>
      </c>
      <c r="AK30" s="10">
        <v>44657</v>
      </c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35"/>
      <c r="BD30" s="24"/>
      <c r="BE30" s="24"/>
      <c r="BF30" s="24"/>
      <c r="BG30" s="24"/>
      <c r="BH30" s="24"/>
      <c r="BI30" s="24"/>
      <c r="BJ30" s="24"/>
      <c r="BK30" s="24"/>
      <c r="BL30" s="24"/>
    </row>
    <row r="31" spans="1:64" x14ac:dyDescent="0.2">
      <c r="A31" s="14" t="s">
        <v>117</v>
      </c>
      <c r="B31" s="7" t="s">
        <v>19</v>
      </c>
      <c r="C31" s="8">
        <v>44466</v>
      </c>
      <c r="D31" s="8">
        <v>44508</v>
      </c>
      <c r="E31" s="2" t="s">
        <v>20</v>
      </c>
      <c r="F31" s="2" t="s">
        <v>20</v>
      </c>
      <c r="G31" s="2" t="s">
        <v>20</v>
      </c>
      <c r="H31" s="2" t="s">
        <v>20</v>
      </c>
      <c r="I31" s="7">
        <v>72</v>
      </c>
      <c r="J31" s="7" t="s">
        <v>21</v>
      </c>
      <c r="K31" s="7" t="s">
        <v>22</v>
      </c>
      <c r="L31" s="7" t="s">
        <v>179</v>
      </c>
      <c r="M31" s="8">
        <v>44536</v>
      </c>
      <c r="N31" s="7"/>
      <c r="O31" s="7">
        <f t="shared" ref="O31:O41" si="5">M31-R31</f>
        <v>68</v>
      </c>
      <c r="P31" s="7" t="s">
        <v>23</v>
      </c>
      <c r="Q31" s="7" t="s">
        <v>193</v>
      </c>
      <c r="R31" s="8">
        <v>44468</v>
      </c>
      <c r="S31" s="8">
        <v>44468</v>
      </c>
      <c r="T31" s="7">
        <v>1</v>
      </c>
      <c r="U31" s="7">
        <v>20</v>
      </c>
      <c r="V31" s="7" t="s">
        <v>24</v>
      </c>
      <c r="W31" s="7">
        <v>20</v>
      </c>
      <c r="X31" s="7">
        <v>20</v>
      </c>
      <c r="Y31" s="12" t="s">
        <v>25</v>
      </c>
      <c r="Z31" s="7">
        <v>2</v>
      </c>
      <c r="AA31" s="7">
        <v>70</v>
      </c>
      <c r="AB31" s="7" t="s">
        <v>118</v>
      </c>
      <c r="AC31" s="7" t="s">
        <v>71</v>
      </c>
      <c r="AD31" s="9">
        <v>1</v>
      </c>
      <c r="AE31" s="9" t="s">
        <v>119</v>
      </c>
      <c r="AF31" s="13" t="s">
        <v>196</v>
      </c>
      <c r="AG31" s="18">
        <v>44370</v>
      </c>
      <c r="AH31" s="18">
        <v>44412</v>
      </c>
      <c r="AI31" s="13" t="s">
        <v>225</v>
      </c>
      <c r="AJ31" s="8">
        <v>44431</v>
      </c>
      <c r="AK31" s="8">
        <v>44495</v>
      </c>
      <c r="AL31" s="13"/>
      <c r="AM31" s="7"/>
      <c r="AN31" s="7"/>
      <c r="AO31" s="13"/>
      <c r="AP31" s="7"/>
      <c r="AQ31" s="7"/>
      <c r="AR31" s="13"/>
      <c r="AS31" s="7"/>
      <c r="AT31" s="7"/>
      <c r="AU31" s="13"/>
      <c r="AV31" s="7"/>
      <c r="AW31" s="7"/>
      <c r="AX31" s="13"/>
      <c r="AY31" s="7"/>
      <c r="AZ31" s="7"/>
      <c r="BA31" s="13"/>
      <c r="BB31" s="7"/>
      <c r="BC31" s="34"/>
      <c r="BD31" s="24"/>
      <c r="BE31" s="24"/>
      <c r="BF31" s="24"/>
      <c r="BG31" s="24"/>
      <c r="BH31" s="24"/>
      <c r="BI31" s="24"/>
      <c r="BJ31" s="24"/>
      <c r="BK31" s="24"/>
      <c r="BL31" s="24"/>
    </row>
    <row r="32" spans="1:64" x14ac:dyDescent="0.2">
      <c r="A32" s="6" t="s">
        <v>120</v>
      </c>
      <c r="B32" s="9" t="s">
        <v>57</v>
      </c>
      <c r="C32" s="10">
        <v>44361</v>
      </c>
      <c r="D32" s="10">
        <v>44420</v>
      </c>
      <c r="E32" s="17" t="s">
        <v>20</v>
      </c>
      <c r="F32" s="10">
        <v>44701</v>
      </c>
      <c r="G32" s="9" t="s">
        <v>58</v>
      </c>
      <c r="H32" s="9" t="s">
        <v>121</v>
      </c>
      <c r="I32" s="9">
        <v>67</v>
      </c>
      <c r="J32" s="7" t="s">
        <v>53</v>
      </c>
      <c r="K32" s="9" t="s">
        <v>22</v>
      </c>
      <c r="L32" s="9" t="s">
        <v>179</v>
      </c>
      <c r="M32" s="10">
        <v>45018</v>
      </c>
      <c r="N32" s="9"/>
      <c r="O32" s="7">
        <f t="shared" si="5"/>
        <v>649</v>
      </c>
      <c r="P32" s="9" t="s">
        <v>122</v>
      </c>
      <c r="Q32" s="9" t="s">
        <v>184</v>
      </c>
      <c r="R32" s="10">
        <v>44369</v>
      </c>
      <c r="S32" s="10">
        <v>44377</v>
      </c>
      <c r="T32" s="9">
        <v>7</v>
      </c>
      <c r="U32" s="9">
        <v>5</v>
      </c>
      <c r="V32" s="9" t="s">
        <v>50</v>
      </c>
      <c r="W32" s="9">
        <v>5</v>
      </c>
      <c r="X32" s="9">
        <v>35</v>
      </c>
      <c r="Y32" s="12" t="s">
        <v>25</v>
      </c>
      <c r="Z32" s="9">
        <v>1</v>
      </c>
      <c r="AA32" s="9">
        <v>80</v>
      </c>
      <c r="AB32" s="9" t="s">
        <v>90</v>
      </c>
      <c r="AC32" s="9" t="s">
        <v>31</v>
      </c>
      <c r="AD32" s="9">
        <v>1</v>
      </c>
      <c r="AE32" s="9" t="s">
        <v>45</v>
      </c>
      <c r="AF32" s="9" t="s">
        <v>201</v>
      </c>
      <c r="AG32" s="10">
        <v>43885</v>
      </c>
      <c r="AH32" s="10">
        <v>44908</v>
      </c>
      <c r="AI32" s="9" t="s">
        <v>200</v>
      </c>
      <c r="AJ32" s="10">
        <v>43886</v>
      </c>
      <c r="AK32" s="10">
        <v>44021</v>
      </c>
      <c r="AL32" s="9" t="s">
        <v>202</v>
      </c>
      <c r="AM32" s="10">
        <v>43886</v>
      </c>
      <c r="AN32" s="10">
        <v>44992</v>
      </c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35"/>
      <c r="BD32" s="24"/>
      <c r="BE32" s="24"/>
      <c r="BF32" s="24"/>
      <c r="BG32" s="24"/>
      <c r="BH32" s="24"/>
      <c r="BI32" s="24"/>
      <c r="BJ32" s="24"/>
      <c r="BK32" s="24"/>
      <c r="BL32" s="24"/>
    </row>
    <row r="33" spans="1:64" x14ac:dyDescent="0.2">
      <c r="A33" s="6" t="s">
        <v>126</v>
      </c>
      <c r="B33" s="9" t="s">
        <v>19</v>
      </c>
      <c r="C33" s="10">
        <v>44361</v>
      </c>
      <c r="D33" s="10">
        <v>44398</v>
      </c>
      <c r="E33" s="10">
        <v>44489</v>
      </c>
      <c r="F33" s="1" t="s">
        <v>20</v>
      </c>
      <c r="G33" s="1" t="s">
        <v>20</v>
      </c>
      <c r="H33" s="1" t="s">
        <v>20</v>
      </c>
      <c r="I33" s="9">
        <v>57</v>
      </c>
      <c r="J33" s="9" t="s">
        <v>21</v>
      </c>
      <c r="K33" s="9" t="s">
        <v>22</v>
      </c>
      <c r="L33" s="9" t="s">
        <v>192</v>
      </c>
      <c r="M33" s="9"/>
      <c r="N33" s="10">
        <v>44586</v>
      </c>
      <c r="O33" s="12">
        <f>N33-R33</f>
        <v>222</v>
      </c>
      <c r="P33" s="9" t="s">
        <v>23</v>
      </c>
      <c r="Q33" s="9" t="s">
        <v>193</v>
      </c>
      <c r="R33" s="10">
        <v>44364</v>
      </c>
      <c r="S33" s="10">
        <v>44364</v>
      </c>
      <c r="T33" s="9">
        <v>1</v>
      </c>
      <c r="U33" s="9">
        <v>20</v>
      </c>
      <c r="V33" s="9" t="s">
        <v>24</v>
      </c>
      <c r="W33" s="9">
        <v>20</v>
      </c>
      <c r="X33" s="9">
        <v>20</v>
      </c>
      <c r="Y33" s="12" t="s">
        <v>25</v>
      </c>
      <c r="Z33" s="9">
        <v>1</v>
      </c>
      <c r="AA33" s="9">
        <v>90</v>
      </c>
      <c r="AB33" s="9"/>
      <c r="AC33" s="9" t="s">
        <v>31</v>
      </c>
      <c r="AD33" s="12">
        <v>1</v>
      </c>
      <c r="AE33" s="12" t="s">
        <v>127</v>
      </c>
      <c r="AF33" s="9" t="s">
        <v>216</v>
      </c>
      <c r="AG33" s="10">
        <v>44361</v>
      </c>
      <c r="AH33" s="10">
        <v>44476</v>
      </c>
      <c r="AI33" s="9" t="s">
        <v>224</v>
      </c>
      <c r="AJ33" s="10">
        <v>44361</v>
      </c>
      <c r="AK33" s="10">
        <v>44502</v>
      </c>
      <c r="AL33" s="9" t="s">
        <v>207</v>
      </c>
      <c r="AM33" s="10">
        <v>44544</v>
      </c>
      <c r="AN33" s="10">
        <v>44586</v>
      </c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35"/>
      <c r="BD33" s="24"/>
      <c r="BE33" s="24"/>
      <c r="BF33" s="24"/>
      <c r="BG33" s="24"/>
      <c r="BH33" s="24"/>
      <c r="BI33" s="24"/>
      <c r="BJ33" s="24"/>
      <c r="BK33" s="24"/>
      <c r="BL33" s="24"/>
    </row>
    <row r="34" spans="1:64" x14ac:dyDescent="0.2">
      <c r="A34" s="14" t="s">
        <v>128</v>
      </c>
      <c r="B34" s="7" t="s">
        <v>19</v>
      </c>
      <c r="C34" s="8">
        <v>44375</v>
      </c>
      <c r="D34" s="8">
        <v>44417</v>
      </c>
      <c r="E34" s="18">
        <v>44489</v>
      </c>
      <c r="F34" s="18">
        <v>44616</v>
      </c>
      <c r="G34" s="2" t="s">
        <v>20</v>
      </c>
      <c r="H34" s="2" t="s">
        <v>20</v>
      </c>
      <c r="I34" s="7">
        <v>59</v>
      </c>
      <c r="J34" s="7" t="s">
        <v>53</v>
      </c>
      <c r="K34" s="7" t="s">
        <v>22</v>
      </c>
      <c r="L34" s="7" t="s">
        <v>179</v>
      </c>
      <c r="M34" s="8">
        <v>44665</v>
      </c>
      <c r="N34" s="7"/>
      <c r="O34" s="7">
        <f t="shared" si="5"/>
        <v>286</v>
      </c>
      <c r="P34" s="7" t="s">
        <v>23</v>
      </c>
      <c r="Q34" s="7" t="s">
        <v>193</v>
      </c>
      <c r="R34" s="8">
        <v>44379</v>
      </c>
      <c r="S34" s="8">
        <v>44379</v>
      </c>
      <c r="T34" s="7">
        <v>1</v>
      </c>
      <c r="U34" s="7">
        <v>20</v>
      </c>
      <c r="V34" s="7" t="s">
        <v>24</v>
      </c>
      <c r="W34" s="7">
        <v>20</v>
      </c>
      <c r="X34" s="7">
        <v>20</v>
      </c>
      <c r="Y34" s="12" t="s">
        <v>25</v>
      </c>
      <c r="Z34" s="7">
        <v>2</v>
      </c>
      <c r="AA34" s="7">
        <v>70</v>
      </c>
      <c r="AB34" s="7" t="s">
        <v>129</v>
      </c>
      <c r="AC34" s="7" t="s">
        <v>71</v>
      </c>
      <c r="AD34" s="9">
        <v>3</v>
      </c>
      <c r="AE34" s="9" t="s">
        <v>130</v>
      </c>
      <c r="AF34" s="13" t="s">
        <v>220</v>
      </c>
      <c r="AG34" s="18">
        <v>43234</v>
      </c>
      <c r="AH34" s="18">
        <v>43308</v>
      </c>
      <c r="AI34" s="13" t="s">
        <v>221</v>
      </c>
      <c r="AJ34" s="8">
        <v>44029</v>
      </c>
      <c r="AK34" s="8">
        <v>44432</v>
      </c>
      <c r="AL34" s="13" t="s">
        <v>222</v>
      </c>
      <c r="AM34" s="8">
        <v>44454</v>
      </c>
      <c r="AN34" s="8">
        <v>44518</v>
      </c>
      <c r="AO34" s="13" t="s">
        <v>187</v>
      </c>
      <c r="AP34" s="8">
        <v>44558</v>
      </c>
      <c r="AQ34" s="8">
        <v>44622</v>
      </c>
      <c r="AR34" s="13"/>
      <c r="AS34" s="7"/>
      <c r="AT34" s="7"/>
      <c r="AU34" s="13"/>
      <c r="AV34" s="7"/>
      <c r="AW34" s="7"/>
      <c r="AX34" s="13"/>
      <c r="AY34" s="7"/>
      <c r="AZ34" s="7"/>
      <c r="BA34" s="13"/>
      <c r="BB34" s="7"/>
      <c r="BC34" s="34"/>
      <c r="BD34" s="24"/>
      <c r="BE34" s="24"/>
      <c r="BF34" s="24"/>
      <c r="BG34" s="24"/>
      <c r="BH34" s="24"/>
      <c r="BI34" s="24"/>
      <c r="BJ34" s="24"/>
      <c r="BK34" s="24"/>
      <c r="BL34" s="24"/>
    </row>
    <row r="35" spans="1:64" x14ac:dyDescent="0.2">
      <c r="A35" s="19" t="s">
        <v>131</v>
      </c>
      <c r="B35" s="12" t="s">
        <v>19</v>
      </c>
      <c r="C35" s="11">
        <v>44739</v>
      </c>
      <c r="D35" s="11">
        <v>44777</v>
      </c>
      <c r="E35" s="11">
        <v>44868</v>
      </c>
      <c r="F35" s="11">
        <v>44963</v>
      </c>
      <c r="G35" s="11">
        <v>45063</v>
      </c>
      <c r="H35" s="11">
        <v>45166</v>
      </c>
      <c r="I35" s="12">
        <v>70</v>
      </c>
      <c r="J35" s="12" t="s">
        <v>21</v>
      </c>
      <c r="K35" s="12" t="s">
        <v>22</v>
      </c>
      <c r="L35" s="12" t="s">
        <v>179</v>
      </c>
      <c r="M35" s="11">
        <v>45232</v>
      </c>
      <c r="N35" s="12"/>
      <c r="O35" s="7">
        <f t="shared" si="5"/>
        <v>490</v>
      </c>
      <c r="P35" s="12" t="s">
        <v>23</v>
      </c>
      <c r="Q35" s="12" t="s">
        <v>193</v>
      </c>
      <c r="R35" s="11">
        <v>44742</v>
      </c>
      <c r="S35" s="11">
        <v>44742</v>
      </c>
      <c r="T35" s="12">
        <v>1</v>
      </c>
      <c r="U35" s="12">
        <v>20</v>
      </c>
      <c r="V35" s="12" t="s">
        <v>24</v>
      </c>
      <c r="W35" s="12">
        <v>20</v>
      </c>
      <c r="X35" s="12">
        <v>20</v>
      </c>
      <c r="Y35" s="12" t="s">
        <v>25</v>
      </c>
      <c r="Z35" s="12">
        <v>1</v>
      </c>
      <c r="AA35" s="12">
        <v>80</v>
      </c>
      <c r="AB35" s="12" t="s">
        <v>132</v>
      </c>
      <c r="AC35" s="12" t="s">
        <v>31</v>
      </c>
      <c r="AD35" s="12">
        <v>1</v>
      </c>
      <c r="AE35" s="12" t="s">
        <v>133</v>
      </c>
      <c r="AF35" s="12" t="s">
        <v>186</v>
      </c>
      <c r="AG35" s="11">
        <v>44279</v>
      </c>
      <c r="AH35" s="11">
        <v>44343</v>
      </c>
      <c r="AI35" s="12" t="s">
        <v>196</v>
      </c>
      <c r="AJ35" s="11">
        <v>44279</v>
      </c>
      <c r="AK35" s="11">
        <v>44973</v>
      </c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33"/>
      <c r="BD35" s="24"/>
      <c r="BE35" s="24"/>
      <c r="BF35" s="24"/>
      <c r="BG35" s="24"/>
      <c r="BH35" s="24"/>
      <c r="BI35" s="24"/>
      <c r="BJ35" s="24"/>
      <c r="BK35" s="24"/>
      <c r="BL35" s="24"/>
    </row>
    <row r="36" spans="1:64" x14ac:dyDescent="0.2">
      <c r="A36" s="19" t="s">
        <v>134</v>
      </c>
      <c r="B36" s="12" t="s">
        <v>57</v>
      </c>
      <c r="C36" s="11">
        <v>44778</v>
      </c>
      <c r="D36" s="11">
        <v>44827</v>
      </c>
      <c r="E36" s="11">
        <v>44894</v>
      </c>
      <c r="F36" s="20" t="s">
        <v>20</v>
      </c>
      <c r="G36" s="11">
        <v>45056</v>
      </c>
      <c r="H36" s="11">
        <v>45243</v>
      </c>
      <c r="I36" s="12">
        <v>59</v>
      </c>
      <c r="J36" s="12" t="s">
        <v>53</v>
      </c>
      <c r="K36" s="12" t="s">
        <v>22</v>
      </c>
      <c r="L36" s="12" t="s">
        <v>179</v>
      </c>
      <c r="M36" s="11">
        <v>45609</v>
      </c>
      <c r="N36" s="12"/>
      <c r="O36" s="7">
        <f t="shared" si="5"/>
        <v>820</v>
      </c>
      <c r="P36" s="12" t="s">
        <v>23</v>
      </c>
      <c r="Q36" s="12" t="s">
        <v>193</v>
      </c>
      <c r="R36" s="11">
        <v>44789</v>
      </c>
      <c r="S36" s="11">
        <v>44789</v>
      </c>
      <c r="T36" s="12">
        <v>1</v>
      </c>
      <c r="U36" s="12">
        <v>20</v>
      </c>
      <c r="V36" s="12" t="s">
        <v>135</v>
      </c>
      <c r="W36" s="12">
        <v>20</v>
      </c>
      <c r="X36" s="12">
        <v>20</v>
      </c>
      <c r="Y36" s="12" t="s">
        <v>25</v>
      </c>
      <c r="Z36" s="12">
        <v>1</v>
      </c>
      <c r="AA36" s="12">
        <v>80</v>
      </c>
      <c r="AB36" s="12" t="s">
        <v>132</v>
      </c>
      <c r="AC36" s="12" t="s">
        <v>31</v>
      </c>
      <c r="AD36" s="12">
        <v>3</v>
      </c>
      <c r="AE36" s="12" t="s">
        <v>136</v>
      </c>
      <c r="AF36" s="12" t="s">
        <v>238</v>
      </c>
      <c r="AG36" s="11">
        <v>43312</v>
      </c>
      <c r="AH36" s="11">
        <v>43354</v>
      </c>
      <c r="AI36" s="12" t="s">
        <v>200</v>
      </c>
      <c r="AJ36" s="11">
        <v>43370</v>
      </c>
      <c r="AK36" s="11">
        <v>43447</v>
      </c>
      <c r="AL36" s="12" t="s">
        <v>202</v>
      </c>
      <c r="AM36" s="11">
        <v>43377</v>
      </c>
      <c r="AN36" s="11">
        <v>43719</v>
      </c>
      <c r="AO36" s="12" t="s">
        <v>256</v>
      </c>
      <c r="AP36" s="11">
        <v>43726</v>
      </c>
      <c r="AQ36" s="11">
        <v>44118</v>
      </c>
      <c r="AR36" s="12" t="s">
        <v>200</v>
      </c>
      <c r="AS36" s="11">
        <v>44130</v>
      </c>
      <c r="AT36" s="11">
        <v>44313</v>
      </c>
      <c r="AU36" s="12" t="s">
        <v>216</v>
      </c>
      <c r="AV36" s="11">
        <v>44153</v>
      </c>
      <c r="AW36" s="11">
        <v>44292</v>
      </c>
      <c r="AX36" s="12" t="s">
        <v>217</v>
      </c>
      <c r="AY36" s="11">
        <v>44138</v>
      </c>
      <c r="AZ36" s="11">
        <v>44901</v>
      </c>
      <c r="BA36" s="12" t="s">
        <v>257</v>
      </c>
      <c r="BB36" s="11">
        <v>44313</v>
      </c>
      <c r="BC36" s="11">
        <v>44796</v>
      </c>
      <c r="BD36" s="12" t="s">
        <v>258</v>
      </c>
      <c r="BE36" s="11">
        <v>44803</v>
      </c>
      <c r="BF36" s="11">
        <v>44887</v>
      </c>
      <c r="BG36" s="12" t="s">
        <v>218</v>
      </c>
      <c r="BH36" s="11">
        <v>44918</v>
      </c>
      <c r="BI36" s="11">
        <v>45574</v>
      </c>
      <c r="BJ36" s="12" t="s">
        <v>203</v>
      </c>
      <c r="BK36" s="11">
        <v>45589</v>
      </c>
      <c r="BL36" s="11">
        <v>45596</v>
      </c>
    </row>
    <row r="37" spans="1:64" s="26" customFormat="1" x14ac:dyDescent="0.2">
      <c r="A37" s="21" t="s">
        <v>137</v>
      </c>
      <c r="B37" s="13" t="s">
        <v>19</v>
      </c>
      <c r="C37" s="18">
        <v>44781</v>
      </c>
      <c r="D37" s="18">
        <v>44820</v>
      </c>
      <c r="E37" s="18">
        <v>44910</v>
      </c>
      <c r="F37" s="20" t="s">
        <v>20</v>
      </c>
      <c r="G37" s="20" t="s">
        <v>20</v>
      </c>
      <c r="H37" s="20" t="s">
        <v>20</v>
      </c>
      <c r="I37" s="13">
        <v>75</v>
      </c>
      <c r="J37" s="13" t="s">
        <v>21</v>
      </c>
      <c r="K37" s="13" t="s">
        <v>22</v>
      </c>
      <c r="L37" s="13" t="s">
        <v>179</v>
      </c>
      <c r="M37" s="18">
        <v>45040</v>
      </c>
      <c r="N37" s="13"/>
      <c r="O37" s="7">
        <f t="shared" si="5"/>
        <v>256</v>
      </c>
      <c r="P37" s="13" t="s">
        <v>23</v>
      </c>
      <c r="Q37" s="13" t="s">
        <v>193</v>
      </c>
      <c r="R37" s="18">
        <v>44784</v>
      </c>
      <c r="S37" s="18">
        <v>44784</v>
      </c>
      <c r="T37" s="13">
        <v>1</v>
      </c>
      <c r="U37" s="13">
        <v>20</v>
      </c>
      <c r="V37" s="13" t="s">
        <v>24</v>
      </c>
      <c r="W37" s="13">
        <v>20</v>
      </c>
      <c r="X37" s="13">
        <v>20</v>
      </c>
      <c r="Y37" s="13" t="s">
        <v>138</v>
      </c>
      <c r="Z37" s="13">
        <v>2</v>
      </c>
      <c r="AA37" s="13">
        <v>70</v>
      </c>
      <c r="AB37" s="13" t="s">
        <v>139</v>
      </c>
      <c r="AC37" s="13"/>
      <c r="AD37" s="13">
        <v>1</v>
      </c>
      <c r="AE37" s="13" t="s">
        <v>140</v>
      </c>
      <c r="AF37" s="9" t="s">
        <v>196</v>
      </c>
      <c r="AG37" s="10">
        <v>44403</v>
      </c>
      <c r="AH37" s="10">
        <v>44740</v>
      </c>
      <c r="AI37" s="9" t="s">
        <v>215</v>
      </c>
      <c r="AJ37" s="10">
        <v>44837</v>
      </c>
      <c r="AK37" s="10">
        <v>45012</v>
      </c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35"/>
      <c r="BD37" s="39"/>
      <c r="BE37" s="39"/>
      <c r="BF37" s="39"/>
      <c r="BG37" s="39"/>
      <c r="BH37" s="39"/>
      <c r="BI37" s="39"/>
      <c r="BJ37" s="39"/>
      <c r="BK37" s="39"/>
      <c r="BL37" s="39"/>
    </row>
    <row r="38" spans="1:64" s="26" customFormat="1" ht="16.5" customHeight="1" x14ac:dyDescent="0.2">
      <c r="A38" s="21" t="s">
        <v>141</v>
      </c>
      <c r="B38" s="13" t="s">
        <v>57</v>
      </c>
      <c r="C38" s="28">
        <v>44832</v>
      </c>
      <c r="D38" s="28">
        <v>44888</v>
      </c>
      <c r="E38" s="28">
        <v>45012</v>
      </c>
      <c r="F38" s="28">
        <v>45135</v>
      </c>
      <c r="G38" s="20" t="s">
        <v>20</v>
      </c>
      <c r="H38" s="20" t="s">
        <v>20</v>
      </c>
      <c r="I38" s="13">
        <v>44</v>
      </c>
      <c r="J38" s="13" t="s">
        <v>53</v>
      </c>
      <c r="K38" s="13" t="s">
        <v>22</v>
      </c>
      <c r="L38" s="13" t="s">
        <v>179</v>
      </c>
      <c r="M38" s="18">
        <v>45188</v>
      </c>
      <c r="N38" s="13"/>
      <c r="O38" s="7">
        <f t="shared" si="5"/>
        <v>349</v>
      </c>
      <c r="P38" s="13" t="s">
        <v>23</v>
      </c>
      <c r="Q38" s="13" t="s">
        <v>193</v>
      </c>
      <c r="R38" s="18">
        <v>44839</v>
      </c>
      <c r="S38" s="18">
        <v>44839</v>
      </c>
      <c r="T38" s="13">
        <v>1</v>
      </c>
      <c r="U38" s="13">
        <v>20</v>
      </c>
      <c r="V38" s="13" t="s">
        <v>24</v>
      </c>
      <c r="W38" s="13">
        <v>20</v>
      </c>
      <c r="X38" s="13">
        <v>20</v>
      </c>
      <c r="Y38" s="13" t="s">
        <v>25</v>
      </c>
      <c r="Z38" s="13">
        <v>1</v>
      </c>
      <c r="AA38" s="13">
        <v>80</v>
      </c>
      <c r="AB38" s="13" t="s">
        <v>132</v>
      </c>
      <c r="AC38" s="13" t="s">
        <v>142</v>
      </c>
      <c r="AD38" s="13">
        <v>1</v>
      </c>
      <c r="AE38" s="13" t="s">
        <v>143</v>
      </c>
      <c r="AF38" s="12" t="s">
        <v>238</v>
      </c>
      <c r="AG38" s="10">
        <v>44277</v>
      </c>
      <c r="AH38" s="10">
        <v>44336</v>
      </c>
      <c r="AI38" s="9" t="s">
        <v>186</v>
      </c>
      <c r="AJ38" s="10">
        <v>44350</v>
      </c>
      <c r="AK38" s="10">
        <v>44438</v>
      </c>
      <c r="AL38" s="9" t="s">
        <v>203</v>
      </c>
      <c r="AM38" s="10">
        <v>44566</v>
      </c>
      <c r="AN38" s="10">
        <v>44805</v>
      </c>
      <c r="AO38" s="9" t="s">
        <v>187</v>
      </c>
      <c r="AP38" s="10">
        <v>44858</v>
      </c>
      <c r="AQ38" s="10">
        <v>45146</v>
      </c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35"/>
      <c r="BD38" s="39"/>
      <c r="BE38" s="39"/>
      <c r="BF38" s="39"/>
      <c r="BG38" s="39"/>
      <c r="BH38" s="39"/>
      <c r="BI38" s="39"/>
      <c r="BJ38" s="39"/>
      <c r="BK38" s="39"/>
      <c r="BL38" s="39"/>
    </row>
    <row r="39" spans="1:64" s="26" customFormat="1" x14ac:dyDescent="0.2">
      <c r="A39" s="21" t="s">
        <v>144</v>
      </c>
      <c r="B39" s="13" t="s">
        <v>57</v>
      </c>
      <c r="C39" s="28">
        <v>44832</v>
      </c>
      <c r="D39" s="28">
        <v>44888</v>
      </c>
      <c r="E39" s="28">
        <v>45012</v>
      </c>
      <c r="F39" s="28">
        <v>45135</v>
      </c>
      <c r="G39" s="20" t="s">
        <v>20</v>
      </c>
      <c r="H39" s="20" t="s">
        <v>20</v>
      </c>
      <c r="I39" s="13">
        <v>44</v>
      </c>
      <c r="J39" s="13" t="s">
        <v>53</v>
      </c>
      <c r="K39" s="13" t="s">
        <v>22</v>
      </c>
      <c r="L39" s="13" t="s">
        <v>179</v>
      </c>
      <c r="M39" s="18">
        <v>45188</v>
      </c>
      <c r="N39" s="13"/>
      <c r="O39" s="7">
        <v>349</v>
      </c>
      <c r="P39" s="13" t="s">
        <v>49</v>
      </c>
      <c r="Q39" s="13" t="s">
        <v>184</v>
      </c>
      <c r="R39" s="18">
        <v>44840</v>
      </c>
      <c r="S39" s="18">
        <v>44848</v>
      </c>
      <c r="T39" s="13">
        <v>7</v>
      </c>
      <c r="U39" s="13">
        <v>5</v>
      </c>
      <c r="V39" s="13" t="s">
        <v>50</v>
      </c>
      <c r="W39" s="13">
        <v>5</v>
      </c>
      <c r="X39" s="13">
        <v>35</v>
      </c>
      <c r="Y39" s="13" t="s">
        <v>25</v>
      </c>
      <c r="Z39" s="13">
        <v>1</v>
      </c>
      <c r="AA39" s="13">
        <v>80</v>
      </c>
      <c r="AB39" s="13" t="s">
        <v>132</v>
      </c>
      <c r="AC39" s="13" t="s">
        <v>142</v>
      </c>
      <c r="AD39" s="13">
        <v>1</v>
      </c>
      <c r="AE39" s="13" t="s">
        <v>145</v>
      </c>
      <c r="AF39" s="12" t="s">
        <v>238</v>
      </c>
      <c r="AG39" s="10">
        <v>44277</v>
      </c>
      <c r="AH39" s="10">
        <v>44336</v>
      </c>
      <c r="AI39" s="9" t="s">
        <v>186</v>
      </c>
      <c r="AJ39" s="10">
        <v>44350</v>
      </c>
      <c r="AK39" s="10">
        <v>44438</v>
      </c>
      <c r="AL39" s="9" t="s">
        <v>203</v>
      </c>
      <c r="AM39" s="10">
        <v>44566</v>
      </c>
      <c r="AN39" s="10">
        <v>44805</v>
      </c>
      <c r="AO39" s="9" t="s">
        <v>187</v>
      </c>
      <c r="AP39" s="10">
        <v>44858</v>
      </c>
      <c r="AQ39" s="10">
        <v>45146</v>
      </c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35"/>
      <c r="BD39" s="39"/>
      <c r="BE39" s="39"/>
      <c r="BF39" s="39"/>
      <c r="BG39" s="39"/>
      <c r="BH39" s="39"/>
      <c r="BI39" s="39"/>
      <c r="BJ39" s="39"/>
      <c r="BK39" s="39"/>
      <c r="BL39" s="39"/>
    </row>
    <row r="40" spans="1:64" x14ac:dyDescent="0.2">
      <c r="A40" s="19" t="s">
        <v>146</v>
      </c>
      <c r="B40" s="12" t="s">
        <v>57</v>
      </c>
      <c r="C40" s="11">
        <v>44622</v>
      </c>
      <c r="D40" s="11">
        <v>44719</v>
      </c>
      <c r="E40" s="11">
        <v>44813</v>
      </c>
      <c r="F40" s="11">
        <v>44852</v>
      </c>
      <c r="G40" s="11">
        <v>44991</v>
      </c>
      <c r="H40" s="11">
        <v>45114</v>
      </c>
      <c r="I40" s="12">
        <v>53</v>
      </c>
      <c r="J40" s="12" t="s">
        <v>53</v>
      </c>
      <c r="K40" s="12" t="s">
        <v>22</v>
      </c>
      <c r="L40" s="12" t="s">
        <v>192</v>
      </c>
      <c r="M40" s="12"/>
      <c r="N40" s="11">
        <v>46034</v>
      </c>
      <c r="O40" s="12">
        <f>N40-R40</f>
        <v>1365</v>
      </c>
      <c r="P40" s="12" t="s">
        <v>49</v>
      </c>
      <c r="Q40" s="13" t="s">
        <v>184</v>
      </c>
      <c r="R40" s="18">
        <v>44669</v>
      </c>
      <c r="S40" s="18">
        <v>44679</v>
      </c>
      <c r="T40" s="12">
        <v>7</v>
      </c>
      <c r="U40" s="12">
        <v>5</v>
      </c>
      <c r="V40" s="12" t="s">
        <v>50</v>
      </c>
      <c r="W40" s="12">
        <v>5</v>
      </c>
      <c r="X40" s="12">
        <v>35</v>
      </c>
      <c r="Y40" s="12" t="s">
        <v>25</v>
      </c>
      <c r="Z40" s="12"/>
      <c r="AA40" s="12"/>
      <c r="AB40" s="12" t="s">
        <v>147</v>
      </c>
      <c r="AC40" s="12"/>
      <c r="AD40" s="12">
        <v>1</v>
      </c>
      <c r="AE40" s="12" t="s">
        <v>148</v>
      </c>
      <c r="AF40" s="12" t="s">
        <v>238</v>
      </c>
      <c r="AG40" s="11">
        <v>44266</v>
      </c>
      <c r="AH40" s="11">
        <v>44313</v>
      </c>
      <c r="AI40" s="12" t="s">
        <v>200</v>
      </c>
      <c r="AJ40" s="11">
        <v>44334</v>
      </c>
      <c r="AK40" s="11">
        <v>44425</v>
      </c>
      <c r="AL40" s="12" t="s">
        <v>201</v>
      </c>
      <c r="AM40" s="11">
        <v>44340</v>
      </c>
      <c r="AN40" s="11">
        <v>44404</v>
      </c>
      <c r="AO40" s="12" t="s">
        <v>202</v>
      </c>
      <c r="AP40" s="11">
        <v>44341</v>
      </c>
      <c r="AQ40" s="12" t="s">
        <v>199</v>
      </c>
      <c r="AR40" s="12" t="s">
        <v>187</v>
      </c>
      <c r="AS40" s="11">
        <v>44901</v>
      </c>
      <c r="AT40" s="11">
        <v>44985</v>
      </c>
      <c r="AU40" s="12" t="s">
        <v>214</v>
      </c>
      <c r="AV40" s="11">
        <v>45002</v>
      </c>
      <c r="AW40" s="11">
        <v>45034</v>
      </c>
      <c r="AX40" s="12"/>
      <c r="AY40" s="12"/>
      <c r="AZ40" s="12"/>
      <c r="BA40" s="12"/>
      <c r="BB40" s="12"/>
      <c r="BC40" s="33"/>
      <c r="BD40" s="24"/>
      <c r="BE40" s="24"/>
      <c r="BF40" s="24"/>
      <c r="BG40" s="24"/>
      <c r="BH40" s="24"/>
      <c r="BI40" s="24"/>
      <c r="BJ40" s="24"/>
      <c r="BK40" s="24"/>
      <c r="BL40" s="24"/>
    </row>
    <row r="41" spans="1:64" s="26" customFormat="1" x14ac:dyDescent="0.2">
      <c r="A41" s="21" t="s">
        <v>149</v>
      </c>
      <c r="B41" s="13" t="s">
        <v>57</v>
      </c>
      <c r="C41" s="18">
        <v>44957</v>
      </c>
      <c r="D41" s="18">
        <v>45040</v>
      </c>
      <c r="E41" s="18">
        <v>45138</v>
      </c>
      <c r="F41" s="20" t="s">
        <v>20</v>
      </c>
      <c r="G41" s="20" t="s">
        <v>20</v>
      </c>
      <c r="H41" s="20" t="s">
        <v>20</v>
      </c>
      <c r="I41" s="13">
        <v>50</v>
      </c>
      <c r="J41" s="13" t="s">
        <v>53</v>
      </c>
      <c r="K41" s="13" t="s">
        <v>22</v>
      </c>
      <c r="L41" s="13" t="s">
        <v>179</v>
      </c>
      <c r="M41" s="18">
        <v>45396</v>
      </c>
      <c r="N41" s="13"/>
      <c r="O41" s="7">
        <f t="shared" si="5"/>
        <v>432</v>
      </c>
      <c r="P41" s="13" t="s">
        <v>23</v>
      </c>
      <c r="Q41" s="13" t="s">
        <v>193</v>
      </c>
      <c r="R41" s="18">
        <v>44964</v>
      </c>
      <c r="S41" s="18">
        <v>44964</v>
      </c>
      <c r="T41" s="13">
        <v>1</v>
      </c>
      <c r="U41" s="13">
        <v>20</v>
      </c>
      <c r="V41" s="13" t="s">
        <v>24</v>
      </c>
      <c r="W41" s="13">
        <v>20</v>
      </c>
      <c r="X41" s="13">
        <v>20</v>
      </c>
      <c r="Y41" s="13" t="s">
        <v>25</v>
      </c>
      <c r="Z41" s="13">
        <v>3</v>
      </c>
      <c r="AA41" s="13">
        <v>50</v>
      </c>
      <c r="AB41" s="13" t="s">
        <v>132</v>
      </c>
      <c r="AC41" s="13" t="s">
        <v>31</v>
      </c>
      <c r="AD41" s="13">
        <v>1</v>
      </c>
      <c r="AE41" s="13" t="s">
        <v>150</v>
      </c>
      <c r="AF41" s="9" t="s">
        <v>237</v>
      </c>
      <c r="AG41" s="10">
        <v>41071</v>
      </c>
      <c r="AH41" s="10">
        <v>41117</v>
      </c>
      <c r="AI41" s="9" t="s">
        <v>190</v>
      </c>
      <c r="AJ41" s="10">
        <v>41142</v>
      </c>
      <c r="AK41" s="10">
        <v>41185</v>
      </c>
      <c r="AL41" s="9" t="s">
        <v>211</v>
      </c>
      <c r="AM41" s="10">
        <v>41352</v>
      </c>
      <c r="AN41" s="10">
        <v>42552</v>
      </c>
      <c r="AO41" s="9" t="s">
        <v>211</v>
      </c>
      <c r="AP41" s="10">
        <v>43560</v>
      </c>
      <c r="AQ41" s="10">
        <v>45163</v>
      </c>
      <c r="AR41" s="9" t="s">
        <v>212</v>
      </c>
      <c r="AS41" s="10">
        <v>43560</v>
      </c>
      <c r="AT41" s="10">
        <v>45163</v>
      </c>
      <c r="AU41" s="9" t="s">
        <v>213</v>
      </c>
      <c r="AV41" s="10">
        <v>44916</v>
      </c>
      <c r="AW41" s="10">
        <v>45173</v>
      </c>
      <c r="AX41" s="9" t="s">
        <v>200</v>
      </c>
      <c r="AY41" s="10">
        <v>45336</v>
      </c>
      <c r="AZ41" s="10">
        <v>45386</v>
      </c>
      <c r="BA41" s="9"/>
      <c r="BB41" s="10"/>
      <c r="BC41" s="37"/>
      <c r="BD41" s="39"/>
      <c r="BE41" s="39"/>
      <c r="BF41" s="39"/>
      <c r="BG41" s="39"/>
      <c r="BH41" s="39"/>
      <c r="BI41" s="39"/>
      <c r="BJ41" s="39"/>
      <c r="BK41" s="39"/>
      <c r="BL41" s="39"/>
    </row>
    <row r="42" spans="1:64" s="26" customFormat="1" x14ac:dyDescent="0.2">
      <c r="A42" s="21" t="s">
        <v>151</v>
      </c>
      <c r="B42" s="13" t="s">
        <v>57</v>
      </c>
      <c r="C42" s="18">
        <v>44957</v>
      </c>
      <c r="D42" s="18">
        <v>45040</v>
      </c>
      <c r="E42" s="18">
        <v>45138</v>
      </c>
      <c r="F42" s="20" t="s">
        <v>20</v>
      </c>
      <c r="G42" s="20" t="s">
        <v>20</v>
      </c>
      <c r="H42" s="20" t="s">
        <v>20</v>
      </c>
      <c r="I42" s="13">
        <v>50</v>
      </c>
      <c r="J42" s="13" t="s">
        <v>53</v>
      </c>
      <c r="K42" s="13" t="s">
        <v>22</v>
      </c>
      <c r="L42" s="13" t="s">
        <v>179</v>
      </c>
      <c r="M42" s="18">
        <v>45396</v>
      </c>
      <c r="N42" s="13"/>
      <c r="O42" s="7">
        <v>432</v>
      </c>
      <c r="P42" s="13" t="s">
        <v>49</v>
      </c>
      <c r="Q42" s="13" t="s">
        <v>184</v>
      </c>
      <c r="R42" s="18">
        <v>44965</v>
      </c>
      <c r="S42" s="18">
        <v>44974</v>
      </c>
      <c r="T42" s="13">
        <v>7</v>
      </c>
      <c r="U42" s="13">
        <v>5</v>
      </c>
      <c r="V42" s="13" t="s">
        <v>50</v>
      </c>
      <c r="W42" s="13">
        <v>5</v>
      </c>
      <c r="X42" s="13">
        <v>35</v>
      </c>
      <c r="Y42" s="13" t="s">
        <v>25</v>
      </c>
      <c r="Z42" s="13">
        <v>3</v>
      </c>
      <c r="AA42" s="13">
        <v>50</v>
      </c>
      <c r="AB42" s="13" t="s">
        <v>132</v>
      </c>
      <c r="AC42" s="13" t="s">
        <v>31</v>
      </c>
      <c r="AD42" s="13">
        <v>2</v>
      </c>
      <c r="AE42" s="13" t="s">
        <v>152</v>
      </c>
      <c r="AF42" s="9" t="s">
        <v>237</v>
      </c>
      <c r="AG42" s="10">
        <v>41071</v>
      </c>
      <c r="AH42" s="10">
        <v>41117</v>
      </c>
      <c r="AI42" s="9" t="s">
        <v>190</v>
      </c>
      <c r="AJ42" s="10">
        <v>41142</v>
      </c>
      <c r="AK42" s="10">
        <v>41185</v>
      </c>
      <c r="AL42" s="9" t="s">
        <v>211</v>
      </c>
      <c r="AM42" s="10">
        <v>41352</v>
      </c>
      <c r="AN42" s="10">
        <v>42552</v>
      </c>
      <c r="AO42" s="9" t="s">
        <v>211</v>
      </c>
      <c r="AP42" s="10">
        <v>43560</v>
      </c>
      <c r="AQ42" s="10">
        <v>45163</v>
      </c>
      <c r="AR42" s="9" t="s">
        <v>212</v>
      </c>
      <c r="AS42" s="10">
        <v>43560</v>
      </c>
      <c r="AT42" s="10">
        <v>45163</v>
      </c>
      <c r="AU42" s="9" t="s">
        <v>213</v>
      </c>
      <c r="AV42" s="10">
        <v>44916</v>
      </c>
      <c r="AW42" s="10">
        <v>45173</v>
      </c>
      <c r="AX42" s="9" t="s">
        <v>200</v>
      </c>
      <c r="AY42" s="10">
        <v>45336</v>
      </c>
      <c r="AZ42" s="10">
        <v>45386</v>
      </c>
      <c r="BA42" s="9"/>
      <c r="BB42" s="10"/>
      <c r="BC42" s="37"/>
      <c r="BD42" s="39"/>
      <c r="BE42" s="39"/>
      <c r="BF42" s="39"/>
      <c r="BG42" s="39"/>
      <c r="BH42" s="39"/>
      <c r="BI42" s="39"/>
      <c r="BJ42" s="39"/>
      <c r="BK42" s="39"/>
      <c r="BL42" s="39"/>
    </row>
    <row r="43" spans="1:64" x14ac:dyDescent="0.2">
      <c r="A43" s="19" t="s">
        <v>153</v>
      </c>
      <c r="B43" s="12" t="s">
        <v>19</v>
      </c>
      <c r="C43" s="11">
        <v>44977</v>
      </c>
      <c r="D43" s="11">
        <v>45028</v>
      </c>
      <c r="E43" s="11">
        <v>45117</v>
      </c>
      <c r="F43" s="11">
        <v>45197</v>
      </c>
      <c r="G43" s="11">
        <v>45307</v>
      </c>
      <c r="H43" s="20" t="s">
        <v>20</v>
      </c>
      <c r="I43" s="12">
        <v>51</v>
      </c>
      <c r="J43" s="12" t="s">
        <v>21</v>
      </c>
      <c r="K43" s="12" t="s">
        <v>22</v>
      </c>
      <c r="L43" s="12" t="s">
        <v>192</v>
      </c>
      <c r="M43" s="12"/>
      <c r="N43" s="11">
        <v>45595</v>
      </c>
      <c r="O43" s="12">
        <f>N43-R43</f>
        <v>615</v>
      </c>
      <c r="P43" s="12" t="s">
        <v>23</v>
      </c>
      <c r="Q43" s="12" t="s">
        <v>193</v>
      </c>
      <c r="R43" s="11">
        <v>44980</v>
      </c>
      <c r="S43" s="11">
        <v>44980</v>
      </c>
      <c r="T43" s="12">
        <v>1</v>
      </c>
      <c r="U43" s="12">
        <v>20</v>
      </c>
      <c r="V43" s="12" t="s">
        <v>24</v>
      </c>
      <c r="W43" s="12">
        <v>20</v>
      </c>
      <c r="X43" s="12">
        <v>20</v>
      </c>
      <c r="Y43" s="12" t="s">
        <v>25</v>
      </c>
      <c r="Z43" s="12"/>
      <c r="AA43" s="12"/>
      <c r="AB43" s="12" t="s">
        <v>154</v>
      </c>
      <c r="AC43" s="12" t="s">
        <v>31</v>
      </c>
      <c r="AD43" s="12">
        <v>1</v>
      </c>
      <c r="AE43" s="12" t="s">
        <v>155</v>
      </c>
      <c r="AF43" s="12" t="s">
        <v>209</v>
      </c>
      <c r="AG43" s="11">
        <v>44047</v>
      </c>
      <c r="AH43" s="11">
        <v>45090</v>
      </c>
      <c r="AI43" s="12" t="s">
        <v>210</v>
      </c>
      <c r="AJ43" s="11">
        <v>45311</v>
      </c>
      <c r="AK43" s="11">
        <v>45595</v>
      </c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33"/>
      <c r="BD43" s="24"/>
      <c r="BE43" s="24"/>
      <c r="BF43" s="24"/>
      <c r="BG43" s="24"/>
      <c r="BH43" s="24"/>
      <c r="BI43" s="24"/>
      <c r="BJ43" s="24"/>
      <c r="BK43" s="24"/>
      <c r="BL43" s="24"/>
    </row>
    <row r="44" spans="1:64" x14ac:dyDescent="0.2">
      <c r="A44" s="19" t="s">
        <v>156</v>
      </c>
      <c r="B44" s="12" t="s">
        <v>19</v>
      </c>
      <c r="C44" s="11">
        <v>44978</v>
      </c>
      <c r="D44" s="11">
        <v>45014</v>
      </c>
      <c r="E44" s="20" t="s">
        <v>20</v>
      </c>
      <c r="F44" s="11">
        <v>45217</v>
      </c>
      <c r="G44" s="20" t="s">
        <v>20</v>
      </c>
      <c r="H44" s="20" t="s">
        <v>20</v>
      </c>
      <c r="I44" s="12">
        <v>66</v>
      </c>
      <c r="J44" s="12" t="s">
        <v>21</v>
      </c>
      <c r="K44" s="12" t="s">
        <v>22</v>
      </c>
      <c r="L44" s="12" t="s">
        <v>179</v>
      </c>
      <c r="M44" s="11">
        <v>45362</v>
      </c>
      <c r="N44" s="12"/>
      <c r="O44" s="7">
        <f>M44-R44</f>
        <v>381</v>
      </c>
      <c r="P44" s="12" t="s">
        <v>23</v>
      </c>
      <c r="Q44" s="12" t="s">
        <v>193</v>
      </c>
      <c r="R44" s="11">
        <v>44981</v>
      </c>
      <c r="S44" s="11">
        <v>44981</v>
      </c>
      <c r="T44" s="12">
        <v>1</v>
      </c>
      <c r="U44" s="12">
        <v>20</v>
      </c>
      <c r="V44" s="12" t="s">
        <v>24</v>
      </c>
      <c r="W44" s="12">
        <v>20</v>
      </c>
      <c r="X44" s="12">
        <v>20</v>
      </c>
      <c r="Y44" s="12" t="s">
        <v>25</v>
      </c>
      <c r="Z44" s="12"/>
      <c r="AA44" s="12"/>
      <c r="AB44" s="12" t="s">
        <v>157</v>
      </c>
      <c r="AC44" s="12" t="s">
        <v>142</v>
      </c>
      <c r="AD44" s="12">
        <v>1</v>
      </c>
      <c r="AE44" s="12" t="s">
        <v>106</v>
      </c>
      <c r="AF44" s="12" t="s">
        <v>186</v>
      </c>
      <c r="AG44" s="11">
        <v>44715</v>
      </c>
      <c r="AH44" s="11">
        <v>44781</v>
      </c>
      <c r="AI44" s="12" t="s">
        <v>196</v>
      </c>
      <c r="AJ44" s="11">
        <v>44715</v>
      </c>
      <c r="AK44" s="11">
        <v>44950</v>
      </c>
      <c r="AL44" s="12" t="s">
        <v>207</v>
      </c>
      <c r="AM44" s="11">
        <v>45002</v>
      </c>
      <c r="AN44" s="11">
        <v>45133</v>
      </c>
      <c r="AO44" s="12" t="s">
        <v>208</v>
      </c>
      <c r="AP44" s="11">
        <v>45155</v>
      </c>
      <c r="AQ44" s="11">
        <v>45218</v>
      </c>
      <c r="AR44" s="12" t="s">
        <v>187</v>
      </c>
      <c r="AS44" s="11">
        <v>45271</v>
      </c>
      <c r="AT44" s="11">
        <v>45323</v>
      </c>
      <c r="AU44" s="12"/>
      <c r="AV44" s="12"/>
      <c r="AW44" s="12"/>
      <c r="AX44" s="12"/>
      <c r="AY44" s="12"/>
      <c r="AZ44" s="12"/>
      <c r="BA44" s="12"/>
      <c r="BB44" s="12"/>
      <c r="BC44" s="33"/>
      <c r="BD44" s="24"/>
      <c r="BE44" s="24"/>
      <c r="BF44" s="24"/>
      <c r="BG44" s="24"/>
      <c r="BH44" s="24"/>
      <c r="BI44" s="24"/>
      <c r="BJ44" s="24"/>
      <c r="BK44" s="24"/>
      <c r="BL44" s="24"/>
    </row>
    <row r="45" spans="1:64" x14ac:dyDescent="0.2">
      <c r="A45" s="19" t="s">
        <v>158</v>
      </c>
      <c r="B45" s="12" t="s">
        <v>57</v>
      </c>
      <c r="C45" s="11">
        <v>45040</v>
      </c>
      <c r="D45" s="11">
        <v>45100</v>
      </c>
      <c r="E45" s="11">
        <v>45175</v>
      </c>
      <c r="F45" s="11">
        <v>45293</v>
      </c>
      <c r="G45" s="20" t="s">
        <v>20</v>
      </c>
      <c r="H45" s="20" t="s">
        <v>20</v>
      </c>
      <c r="I45" s="12">
        <v>50</v>
      </c>
      <c r="J45" s="12" t="s">
        <v>53</v>
      </c>
      <c r="K45" s="12" t="s">
        <v>22</v>
      </c>
      <c r="L45" s="12" t="s">
        <v>192</v>
      </c>
      <c r="M45" s="12"/>
      <c r="N45" s="11">
        <v>46042</v>
      </c>
      <c r="O45" s="12">
        <f>N45-R45</f>
        <v>994</v>
      </c>
      <c r="P45" s="12" t="s">
        <v>49</v>
      </c>
      <c r="Q45" s="12" t="s">
        <v>184</v>
      </c>
      <c r="R45" s="11">
        <v>45048</v>
      </c>
      <c r="S45" s="11">
        <v>45056</v>
      </c>
      <c r="T45" s="12">
        <v>7</v>
      </c>
      <c r="U45" s="12">
        <v>5</v>
      </c>
      <c r="V45" s="12" t="s">
        <v>50</v>
      </c>
      <c r="W45" s="12">
        <v>5</v>
      </c>
      <c r="X45" s="12">
        <v>35</v>
      </c>
      <c r="Y45" s="12" t="s">
        <v>25</v>
      </c>
      <c r="Z45" s="12"/>
      <c r="AA45" s="12"/>
      <c r="AB45" s="12"/>
      <c r="AC45" s="12" t="s">
        <v>31</v>
      </c>
      <c r="AD45" s="12">
        <v>1</v>
      </c>
      <c r="AE45" s="12" t="s">
        <v>148</v>
      </c>
      <c r="AF45" s="12" t="s">
        <v>239</v>
      </c>
      <c r="AG45" s="11">
        <v>44439</v>
      </c>
      <c r="AH45" s="11">
        <v>44502</v>
      </c>
      <c r="AI45" s="12" t="s">
        <v>200</v>
      </c>
      <c r="AJ45" s="11">
        <v>44523</v>
      </c>
      <c r="AK45" s="11">
        <v>44607</v>
      </c>
      <c r="AL45" s="12" t="s">
        <v>201</v>
      </c>
      <c r="AM45" s="11">
        <v>44529</v>
      </c>
      <c r="AN45" s="11">
        <v>44593</v>
      </c>
      <c r="AO45" s="12" t="s">
        <v>202</v>
      </c>
      <c r="AP45" s="11">
        <v>44530</v>
      </c>
      <c r="AQ45" s="11">
        <v>44875</v>
      </c>
      <c r="AR45" s="12" t="s">
        <v>202</v>
      </c>
      <c r="AS45" s="11">
        <v>45394</v>
      </c>
      <c r="AT45" s="11">
        <v>45604</v>
      </c>
      <c r="AU45" s="12" t="s">
        <v>204</v>
      </c>
      <c r="AV45" s="11">
        <v>45414</v>
      </c>
      <c r="AW45" s="11">
        <v>45583</v>
      </c>
      <c r="AX45" s="12" t="s">
        <v>205</v>
      </c>
      <c r="AY45" s="11">
        <v>45625</v>
      </c>
      <c r="AZ45" s="12" t="s">
        <v>206</v>
      </c>
      <c r="BA45" s="12"/>
      <c r="BB45" s="11"/>
      <c r="BC45" s="33"/>
      <c r="BD45" s="24"/>
      <c r="BE45" s="24"/>
      <c r="BF45" s="24"/>
      <c r="BG45" s="24"/>
      <c r="BH45" s="24"/>
      <c r="BI45" s="24"/>
      <c r="BJ45" s="24"/>
      <c r="BK45" s="24"/>
      <c r="BL45" s="24"/>
    </row>
    <row r="46" spans="1:64" x14ac:dyDescent="0.2">
      <c r="A46" s="19" t="s">
        <v>159</v>
      </c>
      <c r="B46" s="12" t="s">
        <v>19</v>
      </c>
      <c r="C46" s="11">
        <v>45042</v>
      </c>
      <c r="D46" s="11">
        <v>45100</v>
      </c>
      <c r="E46" s="11">
        <v>45145</v>
      </c>
      <c r="F46" s="20" t="s">
        <v>20</v>
      </c>
      <c r="G46" s="20" t="s">
        <v>20</v>
      </c>
      <c r="H46" s="20" t="s">
        <v>20</v>
      </c>
      <c r="I46" s="12">
        <v>41</v>
      </c>
      <c r="J46" s="12" t="s">
        <v>53</v>
      </c>
      <c r="K46" s="12" t="s">
        <v>22</v>
      </c>
      <c r="L46" s="12" t="s">
        <v>179</v>
      </c>
      <c r="M46" s="11">
        <v>45314</v>
      </c>
      <c r="N46" s="12"/>
      <c r="O46" s="7">
        <f>M46-R46</f>
        <v>266</v>
      </c>
      <c r="P46" s="12" t="s">
        <v>23</v>
      </c>
      <c r="Q46" s="12" t="s">
        <v>184</v>
      </c>
      <c r="R46" s="11">
        <v>45048</v>
      </c>
      <c r="S46" s="11">
        <v>45056</v>
      </c>
      <c r="T46" s="12">
        <v>1</v>
      </c>
      <c r="U46" s="12">
        <v>5</v>
      </c>
      <c r="V46" s="12" t="s">
        <v>24</v>
      </c>
      <c r="W46" s="12">
        <v>5</v>
      </c>
      <c r="X46" s="12">
        <v>35</v>
      </c>
      <c r="Y46" s="12" t="s">
        <v>138</v>
      </c>
      <c r="Z46" s="12">
        <v>1</v>
      </c>
      <c r="AA46" s="12">
        <v>90</v>
      </c>
      <c r="AB46" s="12" t="s">
        <v>132</v>
      </c>
      <c r="AC46" s="12" t="s">
        <v>142</v>
      </c>
      <c r="AD46" s="12">
        <v>1</v>
      </c>
      <c r="AE46" s="12" t="s">
        <v>160</v>
      </c>
      <c r="AF46" s="12" t="s">
        <v>239</v>
      </c>
      <c r="AG46" s="11">
        <v>44210</v>
      </c>
      <c r="AH46" s="11">
        <v>44274</v>
      </c>
      <c r="AI46" s="12" t="s">
        <v>200</v>
      </c>
      <c r="AJ46" s="11">
        <v>44295</v>
      </c>
      <c r="AK46" s="11">
        <v>44383</v>
      </c>
      <c r="AL46" s="12" t="s">
        <v>201</v>
      </c>
      <c r="AM46" s="11">
        <v>44301</v>
      </c>
      <c r="AN46" s="11">
        <v>44390</v>
      </c>
      <c r="AO46" s="12" t="s">
        <v>202</v>
      </c>
      <c r="AP46" s="11">
        <v>44302</v>
      </c>
      <c r="AQ46" s="11">
        <v>44662</v>
      </c>
      <c r="AR46" s="12" t="s">
        <v>200</v>
      </c>
      <c r="AS46" s="11">
        <v>45205</v>
      </c>
      <c r="AT46" s="11">
        <v>45246</v>
      </c>
      <c r="AU46" s="12" t="s">
        <v>201</v>
      </c>
      <c r="AV46" s="11">
        <v>45204</v>
      </c>
      <c r="AW46" s="11">
        <v>45246</v>
      </c>
      <c r="AX46" s="12" t="s">
        <v>202</v>
      </c>
      <c r="AY46" s="11">
        <v>45205</v>
      </c>
      <c r="AZ46" s="11">
        <v>45282</v>
      </c>
      <c r="BA46" s="12"/>
      <c r="BB46" s="11"/>
      <c r="BC46" s="36"/>
      <c r="BD46" s="24"/>
      <c r="BE46" s="24"/>
      <c r="BF46" s="24"/>
      <c r="BG46" s="24"/>
      <c r="BH46" s="24"/>
      <c r="BI46" s="24"/>
      <c r="BJ46" s="24"/>
      <c r="BK46" s="24"/>
      <c r="BL46" s="24"/>
    </row>
    <row r="47" spans="1:64" x14ac:dyDescent="0.2">
      <c r="A47" s="19" t="s">
        <v>161</v>
      </c>
      <c r="B47" s="12" t="s">
        <v>19</v>
      </c>
      <c r="C47" s="11">
        <v>45103</v>
      </c>
      <c r="D47" s="20" t="s">
        <v>20</v>
      </c>
      <c r="E47" s="11">
        <v>45199</v>
      </c>
      <c r="F47" s="11">
        <v>45310</v>
      </c>
      <c r="G47" s="20" t="s">
        <v>20</v>
      </c>
      <c r="H47" s="20" t="s">
        <v>20</v>
      </c>
      <c r="I47" s="12">
        <v>64</v>
      </c>
      <c r="J47" s="12" t="s">
        <v>21</v>
      </c>
      <c r="K47" s="12" t="s">
        <v>22</v>
      </c>
      <c r="L47" s="12" t="s">
        <v>192</v>
      </c>
      <c r="M47" s="12"/>
      <c r="N47" s="11">
        <v>46048</v>
      </c>
      <c r="O47" s="12">
        <f>N47-R47</f>
        <v>942</v>
      </c>
      <c r="P47" s="12" t="s">
        <v>23</v>
      </c>
      <c r="Q47" s="12" t="s">
        <v>193</v>
      </c>
      <c r="R47" s="11">
        <v>45106</v>
      </c>
      <c r="S47" s="11">
        <v>45106</v>
      </c>
      <c r="T47" s="12">
        <v>1</v>
      </c>
      <c r="U47" s="12">
        <v>20</v>
      </c>
      <c r="V47" s="12" t="s">
        <v>24</v>
      </c>
      <c r="W47" s="12">
        <v>20</v>
      </c>
      <c r="X47" s="12">
        <v>20</v>
      </c>
      <c r="Y47" s="12" t="s">
        <v>25</v>
      </c>
      <c r="Z47" s="12">
        <v>1</v>
      </c>
      <c r="AA47" s="12">
        <v>80</v>
      </c>
      <c r="AB47" s="12" t="s">
        <v>139</v>
      </c>
      <c r="AC47" s="12" t="s">
        <v>31</v>
      </c>
      <c r="AD47" s="12">
        <v>1</v>
      </c>
      <c r="AE47" s="12" t="s">
        <v>162</v>
      </c>
      <c r="AF47" s="12" t="s">
        <v>197</v>
      </c>
      <c r="AG47" s="11">
        <v>44774</v>
      </c>
      <c r="AH47" s="11">
        <v>44809</v>
      </c>
      <c r="AI47" s="12" t="s">
        <v>195</v>
      </c>
      <c r="AJ47" s="11">
        <v>44858</v>
      </c>
      <c r="AK47" s="11">
        <v>45257</v>
      </c>
      <c r="AL47" s="12" t="s">
        <v>198</v>
      </c>
      <c r="AM47" s="11">
        <v>45922</v>
      </c>
      <c r="AN47" s="12" t="s">
        <v>199</v>
      </c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33"/>
      <c r="BD47" s="24"/>
      <c r="BE47" s="24"/>
      <c r="BF47" s="24"/>
      <c r="BG47" s="24"/>
      <c r="BH47" s="24"/>
      <c r="BI47" s="24"/>
      <c r="BJ47" s="24"/>
      <c r="BK47" s="24"/>
      <c r="BL47" s="24"/>
    </row>
    <row r="48" spans="1:64" x14ac:dyDescent="0.2">
      <c r="A48" s="19" t="s">
        <v>163</v>
      </c>
      <c r="B48" s="12" t="s">
        <v>19</v>
      </c>
      <c r="C48" s="11">
        <v>45194</v>
      </c>
      <c r="D48" s="11">
        <v>45239</v>
      </c>
      <c r="E48" s="20" t="s">
        <v>20</v>
      </c>
      <c r="F48" s="20" t="s">
        <v>20</v>
      </c>
      <c r="G48" s="20" t="s">
        <v>20</v>
      </c>
      <c r="H48" s="20" t="s">
        <v>20</v>
      </c>
      <c r="I48" s="12">
        <v>68</v>
      </c>
      <c r="J48" s="12" t="s">
        <v>21</v>
      </c>
      <c r="K48" s="12" t="s">
        <v>22</v>
      </c>
      <c r="L48" s="12" t="s">
        <v>192</v>
      </c>
      <c r="M48" s="12"/>
      <c r="N48" s="11">
        <v>45994</v>
      </c>
      <c r="O48" s="12">
        <f>N48-R48</f>
        <v>797</v>
      </c>
      <c r="P48" s="12" t="s">
        <v>23</v>
      </c>
      <c r="Q48" s="12" t="s">
        <v>193</v>
      </c>
      <c r="R48" s="11">
        <v>45197</v>
      </c>
      <c r="S48" s="11">
        <v>45197</v>
      </c>
      <c r="T48" s="12">
        <v>1</v>
      </c>
      <c r="U48" s="12">
        <v>20</v>
      </c>
      <c r="V48" s="12" t="s">
        <v>24</v>
      </c>
      <c r="W48" s="12">
        <v>20</v>
      </c>
      <c r="X48" s="12">
        <v>20</v>
      </c>
      <c r="Y48" s="12" t="s">
        <v>25</v>
      </c>
      <c r="Z48" s="12">
        <v>0</v>
      </c>
      <c r="AA48" s="12">
        <v>100</v>
      </c>
      <c r="AB48" s="12" t="s">
        <v>132</v>
      </c>
      <c r="AC48" s="12" t="s">
        <v>142</v>
      </c>
      <c r="AD48" s="12">
        <v>1</v>
      </c>
      <c r="AE48" s="12" t="s">
        <v>148</v>
      </c>
      <c r="AF48" s="12" t="s">
        <v>186</v>
      </c>
      <c r="AG48" s="11">
        <v>44902</v>
      </c>
      <c r="AH48" s="11">
        <v>44909</v>
      </c>
      <c r="AI48" s="12" t="s">
        <v>194</v>
      </c>
      <c r="AJ48" s="11">
        <v>44928</v>
      </c>
      <c r="AK48" s="11">
        <v>44956</v>
      </c>
      <c r="AL48" s="12" t="s">
        <v>195</v>
      </c>
      <c r="AM48" s="11">
        <v>45005</v>
      </c>
      <c r="AN48" s="11">
        <v>45147</v>
      </c>
      <c r="AO48" s="12" t="s">
        <v>196</v>
      </c>
      <c r="AP48" s="11">
        <v>45183</v>
      </c>
      <c r="AQ48" s="11">
        <v>45938</v>
      </c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33"/>
      <c r="BD48" s="24"/>
      <c r="BE48" s="24"/>
      <c r="BF48" s="24"/>
      <c r="BG48" s="24"/>
      <c r="BH48" s="24"/>
      <c r="BI48" s="24"/>
      <c r="BJ48" s="24"/>
      <c r="BK48" s="24"/>
      <c r="BL48" s="24"/>
    </row>
    <row r="49" spans="1:64" s="26" customFormat="1" x14ac:dyDescent="0.2">
      <c r="A49" s="6" t="s">
        <v>123</v>
      </c>
      <c r="B49" s="22" t="s">
        <v>57</v>
      </c>
      <c r="C49" s="23">
        <v>44221</v>
      </c>
      <c r="D49" s="23">
        <v>44277</v>
      </c>
      <c r="E49" s="17" t="s">
        <v>20</v>
      </c>
      <c r="F49" s="17" t="s">
        <v>20</v>
      </c>
      <c r="G49" s="17" t="s">
        <v>20</v>
      </c>
      <c r="H49" s="17" t="s">
        <v>20</v>
      </c>
      <c r="I49" s="22">
        <v>42</v>
      </c>
      <c r="J49" s="7" t="s">
        <v>53</v>
      </c>
      <c r="K49" s="22" t="s">
        <v>22</v>
      </c>
      <c r="L49" s="22" t="s">
        <v>179</v>
      </c>
      <c r="M49" s="29">
        <v>44383</v>
      </c>
      <c r="N49" s="22"/>
      <c r="O49" s="7">
        <f>M49-R49</f>
        <v>155</v>
      </c>
      <c r="P49" s="22" t="s">
        <v>49</v>
      </c>
      <c r="Q49" s="22" t="s">
        <v>184</v>
      </c>
      <c r="R49" s="29">
        <v>44228</v>
      </c>
      <c r="S49" s="29">
        <v>44236</v>
      </c>
      <c r="T49" s="22">
        <v>7</v>
      </c>
      <c r="U49" s="22">
        <v>5</v>
      </c>
      <c r="V49" s="22" t="s">
        <v>50</v>
      </c>
      <c r="W49" s="22">
        <v>5</v>
      </c>
      <c r="X49" s="22">
        <v>35</v>
      </c>
      <c r="Y49" s="12" t="s">
        <v>25</v>
      </c>
      <c r="Z49" s="22">
        <v>2</v>
      </c>
      <c r="AA49" s="22">
        <v>80</v>
      </c>
      <c r="AB49" s="22" t="s">
        <v>124</v>
      </c>
      <c r="AC49" s="22" t="s">
        <v>71</v>
      </c>
      <c r="AD49" s="22">
        <v>1</v>
      </c>
      <c r="AE49" s="22" t="s">
        <v>125</v>
      </c>
      <c r="AF49" s="12" t="s">
        <v>238</v>
      </c>
      <c r="AG49" s="29">
        <v>42982</v>
      </c>
      <c r="AH49" s="22" t="s">
        <v>185</v>
      </c>
      <c r="AI49" s="22" t="s">
        <v>186</v>
      </c>
      <c r="AJ49" s="29">
        <v>43052</v>
      </c>
      <c r="AK49" s="29">
        <v>43151</v>
      </c>
      <c r="AL49" s="22" t="s">
        <v>203</v>
      </c>
      <c r="AM49" s="29">
        <v>43259</v>
      </c>
      <c r="AN49" s="29">
        <v>43509</v>
      </c>
      <c r="AO49" s="22" t="s">
        <v>187</v>
      </c>
      <c r="AP49" s="29">
        <v>43516</v>
      </c>
      <c r="AQ49" s="29">
        <v>43635</v>
      </c>
      <c r="AR49" s="22" t="s">
        <v>188</v>
      </c>
      <c r="AS49" s="29">
        <v>43696</v>
      </c>
      <c r="AT49" s="29">
        <v>43878</v>
      </c>
      <c r="AU49" s="22" t="s">
        <v>189</v>
      </c>
      <c r="AV49" s="29">
        <v>44174</v>
      </c>
      <c r="AW49" s="29">
        <v>44250</v>
      </c>
      <c r="AX49" s="22" t="s">
        <v>190</v>
      </c>
      <c r="AY49" s="29">
        <v>44260</v>
      </c>
      <c r="AZ49" s="29">
        <v>44284</v>
      </c>
      <c r="BA49" s="22" t="s">
        <v>191</v>
      </c>
      <c r="BB49" s="29">
        <v>44302</v>
      </c>
      <c r="BC49" s="29">
        <v>44351</v>
      </c>
      <c r="BD49" s="38" t="s">
        <v>251</v>
      </c>
      <c r="BE49" s="38">
        <v>44315</v>
      </c>
      <c r="BF49" s="38">
        <v>44317</v>
      </c>
      <c r="BG49" s="38"/>
      <c r="BH49" s="38"/>
      <c r="BI49" s="40"/>
      <c r="BJ49" s="40"/>
      <c r="BK49" s="40"/>
      <c r="BL49" s="40"/>
    </row>
  </sheetData>
  <mergeCells count="13">
    <mergeCell ref="BJ1:BL1"/>
    <mergeCell ref="AD1:AE1"/>
    <mergeCell ref="A1:AC1"/>
    <mergeCell ref="AF1:AH1"/>
    <mergeCell ref="AI1:AK1"/>
    <mergeCell ref="AL1:AN1"/>
    <mergeCell ref="BD1:BF1"/>
    <mergeCell ref="BG1:BI1"/>
    <mergeCell ref="AO1:AQ1"/>
    <mergeCell ref="AR1:AT1"/>
    <mergeCell ref="AU1:AW1"/>
    <mergeCell ref="AX1:AZ1"/>
    <mergeCell ref="BA1:BC1"/>
  </mergeCells>
  <dataValidations disablePrompts="1" count="2">
    <dataValidation type="list" allowBlank="1" showInputMessage="1" showErrorMessage="1" sqref="K49" xr:uid="{7DCCAB21-963C-4F0A-B3D4-F3EF06114A8C}">
      <formula1>"White/Caucasian, Mongoloid/Asian, Negroid/Black, Other"</formula1>
    </dataValidation>
    <dataValidation type="list" allowBlank="1" showInputMessage="1" showErrorMessage="1" sqref="L3:L49" xr:uid="{601128C8-2FBC-49CB-98CE-0EE41624E767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Chistos Panagiotis Papanikas</dc:creator>
  <cp:keywords/>
  <dc:description/>
  <cp:lastModifiedBy>Vasileios Vavourakis</cp:lastModifiedBy>
  <cp:revision/>
  <dcterms:created xsi:type="dcterms:W3CDTF">2025-04-30T08:21:32Z</dcterms:created>
  <dcterms:modified xsi:type="dcterms:W3CDTF">2026-05-04T13:38:27Z</dcterms:modified>
  <cp:category/>
  <cp:contentStatus/>
</cp:coreProperties>
</file>