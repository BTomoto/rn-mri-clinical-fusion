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89af4ccbf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c58e6f40094e56"/>
    <x:sheet xmlns:r="http://schemas.openxmlformats.org/officeDocument/2006/relationships" name="Timepoints" sheetId="2" r:id="Ra06b939025a948c1"/>
    <x:sheet xmlns:r="http://schemas.openxmlformats.org/officeDocument/2006/relationships" name="Folds" sheetId="3" r:id="Rff771d313a58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0000"/>
    <x:numFmt numFmtId="203" formatCode="0.0000"/>
    <x:numFmt numFmtId="204" formatCode="0.0%"/>
  </x:numFmts>
  <x:fonts count="4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4" fontId="0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427e3579049ae" /><Relationship Type="http://schemas.openxmlformats.org/officeDocument/2006/relationships/theme" Target="/xl/theme/theme1.xml" Id="Rb34a71bb0e3149f4" /><Relationship Type="http://schemas.openxmlformats.org/officeDocument/2006/relationships/sharedStrings" Target="/xl/sharedStrings.xml" Id="R246cc4a1512a46be" /><Relationship Type="http://schemas.openxmlformats.org/officeDocument/2006/relationships/worksheet" Target="/xl/worksheets/sheet1.xml" Id="Rbac58e6f40094e56" /><Relationship Type="http://schemas.openxmlformats.org/officeDocument/2006/relationships/worksheet" Target="/xl/worksheets/sheet2.xml" Id="Ra06b939025a948c1" /><Relationship Type="http://schemas.openxmlformats.org/officeDocument/2006/relationships/worksheet" Target="/xl/worksheets/sheet3.xml" Id="Rff771d313a584a10" /></Relationships>
</file>

<file path=xl/tables/table1.xml><?xml version="1.0" encoding="utf-8"?>
<x:table xmlns:x="http://schemas.openxmlformats.org/spreadsheetml/2006/main" id="1" name="UCSDClinicalOOF" displayName="UCSDClinicalOOF" ref="A1:U244" headerRowCount="1" totalsRowCount="0" totalsRowShown="0">
  <x:tableColumns count="21">
    <x:tableColumn id="1" name="ID"/>
    <x:tableColumn id="2" name="patient_id"/>
    <x:tableColumn id="3" name="tumor_label"/>
    <x:tableColumn id="4" name="label_source"/>
    <x:tableColumn id="5" name="negative_list_dx"/>
    <x:tableColumn id="6" name="age_years"/>
    <x:tableColumn id="7" name="sex_at_birth_raw"/>
    <x:tableColumn id="8" name="sex_male"/>
    <x:tableColumn id="9" name="primary_diagnosis_raw"/>
    <x:tableColumn id="10" name="diagnosis_text_anomaly"/>
    <x:tableColumn id="11" name="source_row_clinical"/>
    <x:tableColumn id="12" name="source_row_negative_list"/>
    <x:tableColumn id="13" name="analysis_question_approved"/>
    <x:tableColumn id="14" name="included_in_clinical_baseline"/>
    <x:tableColumn id="15" name="eligibility_reason"/>
    <x:tableColumn id="16" name="validation_fold"/>
    <x:tableColumn id="17" name="oof_tumor_probability"/>
    <x:tableColumn id="18" name="oof_prevalence_only_probability"/>
    <x:tableColumn id="19" name="oof_prediction_at_0_5"/>
    <x:tableColumn id="20" name="logistic_squared_error"/>
    <x:tableColumn id="21" name="prior_squared_err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CSDValidationFolds" displayName="UCSDValidationFolds" ref="A1:L6" headerRowCount="1" totalsRowCount="0" totalsRowShown="0">
  <x:tableColumns count="12">
    <x:tableColumn id="1" name="fold"/>
    <x:tableColumn id="2" name="n_train_patients"/>
    <x:tableColumn id="3" name="n_test_patients"/>
    <x:tableColumn id="4" name="n_train_timepoints"/>
    <x:tableColumn id="5" name="n_test_timepoints"/>
    <x:tableColumn id="6" name="test_tumor"/>
    <x:tableColumn id="7" name="test_treatment_change"/>
    <x:tableColumn id="8" name="train_prevalence"/>
    <x:tableColumn id="9" name="train_age_mean"/>
    <x:tableColumn id="10" name="train_age_sd"/>
    <x:tableColumn id="11" name="roc_auc"/>
    <x:tableColumn id="12" name="br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52efade13644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6a9772f5fd4875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2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4" hidden="0" customWidth="1"/>
    <x:col min="8" max="8" width="66" hidden="0" customWidth="1"/>
  </x:cols>
  <x:sheetData>
    <x:row r="2">
      <x:c r="B2" s="31" t="str">
        <x:v>高级别胶质瘤治疗后鉴别：临床基线</x:v>
      </x:c>
    </x:row>
    <x:row r="4" ht="58" customHeight="1">
      <x:c r="B4" s="25" t="str">
        <x:v>队列与验证</x:v>
      </x:c>
      <x:c r="C4" s="25" t="str">
        <x:v>数值</x:v>
      </x:c>
      <x:c r="D4" s="25" t="str">
        <x:v>单位</x:v>
      </x:c>
      <x:c r="E4" s="1"/>
      <x:c r="F4" s="1"/>
      <x:c r="G4" s="1"/>
      <x:c r="H4" s="25" t="str">
        <x:v>结果与解释</x:v>
      </x:c>
    </x:row>
    <x:row r="5" ht="32" customHeight="1">
      <x:c r="B5" s="1" t="str">
        <x:v>纳入扫描</x:v>
      </x:c>
      <x:c r="C5" s="1" t="n">
        <x:f>COUNTA(Timepoints!A2:A244)</x:f>
        <x:v>243</x:v>
      </x:c>
      <x:c r="D5" s="1" t="str">
        <x:v>次</x:v>
      </x:c>
      <x:c r="E5" s="1"/>
      <x:c r="F5" s="1"/>
      <x:c r="G5" s="1"/>
      <x:c r="H5" s="21" t="str">
        <x:v>AUC接近随机；区间跨0.5。</x:v>
      </x:c>
    </x:row>
    <x:row r="6" ht="32" customHeight="1">
      <x:c r="B6" s="1" t="str">
        <x:v>患者去重</x:v>
      </x:c>
      <x:c r="C6" s="1" t="n">
        <x:v>178</x:v>
      </x:c>
      <x:c r="D6" s="1" t="str">
        <x:v>名</x:v>
      </x:c>
      <x:c r="E6" s="1"/>
      <x:c r="F6" s="1"/>
      <x:c r="G6" s="1"/>
      <x:c r="H6" s="21" t="str">
        <x:v>固定阈值未识别51次治疗相关改变。</x:v>
      </x:c>
    </x:row>
    <x:row r="7" ht="32" customHeight="1">
      <x:c r="B7" s="1" t="str">
        <x:v>肿瘤扫描</x:v>
      </x:c>
      <x:c r="C7" s="1" t="n">
        <x:f>SUM(Timepoints!C2:C244)</x:f>
        <x:v>192</x:v>
      </x:c>
      <x:c r="D7" s="1" t="str">
        <x:v>次</x:v>
      </x:c>
      <x:c r="E7" s="1"/>
      <x:c r="F7" s="1"/>
      <x:c r="G7" s="1"/>
      <x:c r="H7" s="21" t="str">
        <x:v>年龄、性别不足以形成有效鉴别模型。</x:v>
      </x:c>
    </x:row>
    <x:row r="8" ht="32" customHeight="1">
      <x:c r="B8" s="1" t="str">
        <x:v>治疗改变扫描</x:v>
      </x:c>
      <x:c r="C8" s="1" t="n">
        <x:f>COUNTIFS(Timepoints!C2:C244,0)</x:f>
        <x:v>51</x:v>
      </x:c>
      <x:c r="D8" s="1" t="str">
        <x:v>次</x:v>
      </x:c>
      <x:c r="E8" s="1"/>
      <x:c r="F8" s="1"/>
      <x:c r="G8" s="1"/>
      <x:c r="H8" s="21" t="str">
        <x:v>Brier差的区间跨0，未支持明确增益。</x:v>
      </x:c>
    </x:row>
    <x:row r="9" ht="32" customHeight="1">
      <x:c r="B9" s="1" t="str">
        <x:v>肿瘤占比</x:v>
      </x:c>
      <x:c r="C9" s="33" t="n">
        <x:f>C7/C5</x:f>
        <x:v>0.7901234567901234</x:v>
      </x:c>
      <x:c r="D9" s="1" t="str">
        <x:v>比例</x:v>
      </x:c>
      <x:c r="E9" s="1"/>
      <x:c r="F9" s="1"/>
      <x:c r="G9" s="1"/>
      <x:c r="H9" s="21" t="str">
        <x:v>标签来自清单与官方分组推导。</x:v>
      </x:c>
    </x:row>
    <x:row r="10" ht="32" customHeight="1">
      <x:c r="B10" s="1" t="str">
        <x:v>患者跨类 / 验证折数</x:v>
      </x:c>
      <x:c r="C10" s="1" t="n">
        <x:v>11</x:v>
      </x:c>
      <x:c r="D10" s="1" t="str">
        <x:v>名（固定5折）</x:v>
      </x:c>
      <x:c r="E10" s="1"/>
      <x:c r="F10" s="1"/>
      <x:c r="G10" s="1"/>
      <x:c r="H10" s="21" t="str">
        <x:v>单中心内部验证，未进行外部验证。</x:v>
      </x:c>
    </x:row>
    <x:row r="11" ht="32" customHeight="1">
      <x:c r="B11" s="1"/>
      <x:c r="C11" s="1"/>
      <x:c r="D11" s="1"/>
      <x:c r="E11" s="1"/>
      <x:c r="F11" s="1"/>
      <x:c r="G11" s="1"/>
      <x:c r="H11" s="21" t="str">
        <x:v>本步未下载新队列MRI或提取影像特征。</x:v>
      </x:c>
    </x:row>
    <x:row r="12" ht="58" customHeight="1">
      <x:c r="B12" s="25" t="str">
        <x:v>OOF指标</x:v>
      </x:c>
      <x:c r="C12" s="25" t="str">
        <x:v>年龄+性别</x:v>
      </x:c>
      <x:c r="D12" s="25" t="str">
        <x:v>95%下限</x:v>
      </x:c>
      <x:c r="E12" s="25" t="str">
        <x:v>95%上限</x:v>
      </x:c>
      <x:c r="F12" s="25" t="str">
        <x:v>比例对照</x:v>
      </x:c>
      <x:c r="G12" s="1"/>
      <x:c r="H12" s="21"/>
    </x:row>
    <x:row r="13" ht="32" customHeight="1">
      <x:c r="B13" s="1" t="str">
        <x:v>ROC AUC</x:v>
      </x:c>
      <x:c r="C13" s="39" t="n">
        <x:v>0.5754697712418301</x:v>
      </x:c>
      <x:c r="D13" s="39" t="n">
        <x:v>0.4671243084191006</x:v>
      </x:c>
      <x:c r="E13" s="39" t="n">
        <x:v>0.6806964275294666</x:v>
      </x:c>
      <x:c r="F13" s="39" t="n">
        <x:v>0.48805147058823517</x:v>
      </x:c>
      <x:c r="G13" s="1"/>
      <x:c r="H13" s="21"/>
    </x:row>
    <x:row r="14" ht="58" customHeight="1">
      <x:c r="B14" s="1" t="str">
        <x:v>肿瘤类AP</x:v>
      </x:c>
      <x:c r="C14" s="39" t="n">
        <x:v>0.8334609207416787</x:v>
      </x:c>
      <x:c r="D14" s="39" t="n">
        <x:v>0.7596248317349655</x:v>
      </x:c>
      <x:c r="E14" s="39" t="n">
        <x:v>0.9026836514298524</x:v>
      </x:c>
      <x:c r="F14" s="39" t="n">
        <x:v>0.7857120283666463</x:v>
      </x:c>
      <x:c r="G14" s="1"/>
      <x:c r="H14" s="25" t="str">
        <x:v>验证方法</x:v>
      </x:c>
    </x:row>
    <x:row r="15" ht="32" customHeight="1">
      <x:c r="B15" s="1" t="str">
        <x:v>治疗改变类AP</x:v>
      </x:c>
      <x:c r="C15" s="39" t="n">
        <x:v>0.2761602614946638</x:v>
      </x:c>
      <x:c r="D15" s="39" t="n">
        <x:v>0.1830164929728619</x:v>
      </x:c>
      <x:c r="E15" s="39" t="n">
        <x:v>0.44397806116289024</x:v>
      </x:c>
      <x:c r="F15" s="39" t="n">
        <x:v>0.20576880363956707</x:v>
      </x:c>
      <x:c r="G15" s="1"/>
      <x:c r="H15" s="21" t="str">
        <x:v>按患者分5折，年龄仅训练折标准化。</x:v>
      </x:c>
    </x:row>
    <x:row r="16" ht="32" customHeight="1">
      <x:c r="B16" s="1" t="str">
        <x:v>Brier（越低越好）</x:v>
      </x:c>
      <x:c r="C16" s="39" t="n">
        <x:f>AVERAGE(Timepoints!T2:T244)</x:f>
        <x:v>0.16490878057065833</x:v>
      </x:c>
      <x:c r="D16" s="39" t="n">
        <x:v>0.13099527434658192</x:v>
      </x:c>
      <x:c r="E16" s="39" t="n">
        <x:v>0.20108337003196491</x:v>
      </x:c>
      <x:c r="F16" s="39" t="n">
        <x:f>AVERAGE(Timepoints!U2:U244)</x:f>
        <x:v>0.1658654063191616</x:v>
      </x:c>
      <x:c r="G16" s="1"/>
      <x:c r="H16" s="21" t="str">
        <x:v>患者整簇bootstrap 2000次，固定OOF概率。</x:v>
      </x:c>
    </x:row>
    <x:row r="17" ht="32" customHeight="1">
      <x:c r="B17" s="1" t="str">
        <x:v>Brier差（模型−对照）</x:v>
      </x:c>
      <x:c r="C17" s="39" t="n">
        <x:f>C16-F16</x:f>
        <x:v>-0.0009566257485032759</x:v>
      </x:c>
      <x:c r="D17" s="39" t="n">
        <x:v>-0.011148936928350592</x:v>
      </x:c>
      <x:c r="E17" s="39" t="n">
        <x:v>0.009350686482306962</x:v>
      </x:c>
      <x:c r="F17" s="39"/>
      <x:c r="G17" s="1"/>
      <x:c r="H17" s="21" t="str">
        <x:v>区间不含全部重新训练/划折变异。</x:v>
      </x:c>
    </x:row>
    <x:row r="18" ht="32" customHeight="1">
      <x:c r="B18" s="1"/>
      <x:c r="C18" s="1"/>
      <x:c r="D18" s="1"/>
      <x:c r="E18" s="1"/>
      <x:c r="F18" s="1"/>
      <x:c r="G18" s="1"/>
      <x:c r="H18" s="21" t="str">
        <x:v>肿瘤AP必须结合79%的肿瘤占比解释。</x:v>
      </x:c>
    </x:row>
    <x:row r="19" ht="32" customHeight="1">
      <x:c r="B19" s="1"/>
      <x:c r="C19" s="1"/>
      <x:c r="D19" s="1"/>
      <x:c r="E19" s="1"/>
      <x:c r="F19" s="1"/>
      <x:c r="G19" s="1"/>
      <x:c r="H19" s="21"/>
    </x:row>
    <x:row r="20" ht="58" customHeight="1">
      <x:c r="B20" s="25" t="str">
        <x:v>固定0.5阈值</x:v>
      </x:c>
      <x:c r="C20" s="25" t="str">
        <x:v>正确治疗改变TN</x:v>
      </x:c>
      <x:c r="D20" s="25" t="str">
        <x:v>改变误判肿瘤FP</x:v>
      </x:c>
      <x:c r="E20" s="25" t="str">
        <x:v>肿瘤漏判FN</x:v>
      </x:c>
      <x:c r="F20" s="25" t="str">
        <x:v>正确肿瘤TP</x:v>
      </x:c>
      <x:c r="G20" s="1"/>
      <x:c r="H20" s="21"/>
    </x:row>
    <x:row r="21" ht="58" customHeight="1">
      <x:c r="B21" s="1" t="str">
        <x:v>混淆计数</x:v>
      </x:c>
      <x:c r="C21" s="40" t="n">
        <x:f>COUNTIFS(Timepoints!C2:C244,0,Timepoints!S2:S244,0)</x:f>
        <x:v>0</x:v>
      </x:c>
      <x:c r="D21" s="40" t="n">
        <x:f>COUNTIFS(Timepoints!C2:C244,0,Timepoints!S2:S244,1)</x:f>
        <x:v>51</x:v>
      </x:c>
      <x:c r="E21" s="40" t="n">
        <x:f>COUNTIFS(Timepoints!C2:C244,1,Timepoints!S2:S244,0)</x:f>
        <x:v>3</x:v>
      </x:c>
      <x:c r="F21" s="40" t="n">
        <x:f>COUNTIFS(Timepoints!C2:C244,1,Timepoints!S2:S244,1)</x:f>
        <x:v>189</x:v>
      </x:c>
      <x:c r="G21" s="1"/>
      <x:c r="H21" s="25" t="str">
        <x:v>下一步需批准</x:v>
      </x:c>
    </x:row>
    <x:row r="22" ht="32" customHeight="1">
      <x:c r="B22" s="1"/>
      <x:c r="C22" s="1"/>
      <x:c r="D22" s="1"/>
      <x:c r="E22" s="1"/>
      <x:c r="F22" s="1"/>
      <x:c r="G22" s="1"/>
      <x:c r="H22" s="21" t="str">
        <x:v>小样本MRI获取、ID和序列质量核查。</x:v>
      </x:c>
    </x:row>
    <x:row r="23" ht="32" customHeight="1">
      <x:c r="B23" s="1" t="str">
        <x:v>肿瘤敏感度</x:v>
      </x:c>
      <x:c r="C23" s="33" t="n">
        <x:f>F21/(E21+F21)</x:f>
        <x:v>0.984375</x:v>
      </x:c>
      <x:c r="D23" s="1" t="str">
        <x:v>治疗改变特异度</x:v>
      </x:c>
      <x:c r="E23" s="33" t="n">
        <x:f>C21/(C21+D21)</x:f>
        <x:v>0</x:v>
      </x:c>
      <x:c r="F23" s="1"/>
      <x:c r="G23" s="1"/>
      <x:c r="H23" s="21" t="str">
        <x:v>先确认ROI独立于标签定义且两组可用。</x:v>
      </x:c>
    </x:row>
    <x:row r="24" ht="32" customHeight="1">
      <x:c r="B24" s="1" t="str">
        <x:v>平衡准确率</x:v>
      </x:c>
      <x:c r="C24" s="33" t="n">
        <x:f>(C23+E23)/2</x:f>
        <x:v>0.4921875</x:v>
      </x:c>
      <x:c r="D24" s="1" t="str">
        <x:v>总体准确率</x:v>
      </x:c>
      <x:c r="E24" s="33" t="n">
        <x:f>(C21+F21)/C5</x:f>
        <x:v>0.7777777777777778</x:v>
      </x:c>
      <x:c r="F24" s="1"/>
      <x:c r="G24" s="1"/>
      <x:c r="H24" s="21" t="str">
        <x:v>本步到此结束，等待用户批准。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556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6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20" hidden="0" customWidth="1"/>
    <x:col min="11" max="11" width="20" hidden="0" customWidth="1"/>
    <x:col min="12" max="12" width="20.399999618530273" hidden="0" customWidth="1"/>
    <x:col min="13" max="13" width="22.100000381469727" hidden="0" customWidth="1"/>
    <x:col min="14" max="14" width="24.649999618530273" hidden="0" customWidth="1"/>
    <x:col min="15" max="15" width="62" hidden="0" customWidth="1"/>
    <x:col min="16" max="16" width="20" hidden="0" customWidth="1"/>
    <x:col min="17" max="17" width="20" hidden="0" customWidth="1"/>
    <x:col min="18" max="18" width="26.350000381469727" hidden="0" customWidth="1"/>
    <x:col min="19" max="19" width="20" hidden="0" customWidth="1"/>
    <x:col min="20" max="20" width="20" hidden="0" customWidth="1"/>
    <x:col min="21" max="21" width="20" hidden="0" customWidth="1"/>
    <x:col min="23" max="23" width="39" hidden="0" customWidth="1"/>
    <x:col min="24" max="24" width="92" hidden="0" customWidth="1"/>
    <x:col min="25" max="25" width="68" hidden="0" customWidth="1"/>
  </x:cols>
  <x:sheetData>
    <x:row r="1" ht="58" customHeight="1">
      <x:c r="A1" s="18" t="str">
        <x:v>ID</x:v>
      </x:c>
      <x:c r="B1" s="18" t="str">
        <x:v>patient_id</x:v>
      </x:c>
      <x:c r="C1" s="19" t="str">
        <x:v>tumor_label</x:v>
      </x:c>
      <x:c r="D1" s="18" t="str">
        <x:v>label_source</x:v>
      </x:c>
      <x:c r="E1" s="18" t="str">
        <x:v>negative_list_dx</x:v>
      </x:c>
      <x:c r="F1" s="19" t="str">
        <x:v>age_years</x:v>
      </x:c>
      <x:c r="G1" s="18" t="str">
        <x:v>sex_at_birth_raw</x:v>
      </x:c>
      <x:c r="H1" s="19" t="str">
        <x:v>sex_male</x:v>
      </x:c>
      <x:c r="I1" s="18" t="str">
        <x:v>primary_diagnosis_raw</x:v>
      </x:c>
      <x:c r="J1" s="19" t="str">
        <x:v>diagnosis_text_anomaly</x:v>
      </x:c>
      <x:c r="K1" s="19" t="str">
        <x:v>source_row_clinical</x:v>
      </x:c>
      <x:c r="L1" s="19" t="str">
        <x:v>source_row_negative_list</x:v>
      </x:c>
      <x:c r="M1" s="19" t="str">
        <x:v>analysis_question_approved</x:v>
      </x:c>
      <x:c r="N1" s="19" t="str">
        <x:v>included_in_clinical_baseline</x:v>
      </x:c>
      <x:c r="O1" s="18" t="str">
        <x:v>eligibility_reason</x:v>
      </x:c>
      <x:c r="P1" s="19" t="str">
        <x:v>validation_fold</x:v>
      </x:c>
      <x:c r="Q1" s="20" t="str">
        <x:v>oof_tumor_probability</x:v>
      </x:c>
      <x:c r="R1" s="20" t="str">
        <x:v>oof_prevalence_only_probability</x:v>
      </x:c>
      <x:c r="S1" s="19" t="str">
        <x:v>oof_prediction_at_0_5</x:v>
      </x:c>
      <x:c r="T1" s="20" t="str">
        <x:v>logistic_squared_error</x:v>
      </x:c>
      <x:c r="U1" s="20" t="str">
        <x:v>prior_squared_error</x:v>
      </x:c>
      <x:c r="W1" s="25" t="str">
        <x:v>来源/定义</x:v>
      </x:c>
      <x:c r="X1" s="25" t="str">
        <x:v>URL/说明</x:v>
      </x:c>
      <x:c r="Y1" s="25" t="str">
        <x:v>SHA256/备注</x:v>
      </x:c>
    </x:row>
    <x:row r="2" ht="49" customHeight="1">
      <x:c r="A2" s="4" t="str">
        <x:v>UCSD-PTGBM-0001_01</x:v>
      </x:c>
      <x:c r="B2" s="4" t="str">
        <x:v>UCSD-PTGBM-0001</x:v>
      </x:c>
      <x:c r="C2" s="6" t="n">
        <x:v>0</x:v>
      </x:c>
      <x:c r="D2" s="4" t="str">
        <x:v>explicit_negative_case_list</x:v>
      </x:c>
      <x:c r="E2" s="4" t="str">
        <x:v>PsP (clinically confirmed)</x:v>
      </x:c>
      <x:c r="F2" s="6" t="n">
        <x:v>20</x:v>
      </x:c>
      <x:c r="G2" s="4" t="str">
        <x:v>Male</x:v>
      </x:c>
      <x:c r="H2" s="6" t="n">
        <x:v>1</x:v>
      </x:c>
      <x:c r="I2" s="4" t="str">
        <x:v>Glioblastoma</x:v>
      </x:c>
      <x:c r="J2" s="6" t="n">
        <x:v>0</x:v>
      </x:c>
      <x:c r="K2" s="6" t="n">
        <x:v>2</x:v>
      </x:c>
      <x:c r="L2" s="6" t="n">
        <x:v>2</x:v>
      </x:c>
      <x:c r="M2" s="6" t="n">
        <x:v>1</x:v>
      </x:c>
      <x:c r="N2" s="6" t="n">
        <x:v>1</x:v>
      </x:c>
      <x:c r="O2" s="4" t="str">
        <x:v>source_HGG_collection; complete_age_sex; broad_partition_label</x:v>
      </x:c>
      <x:c r="P2" s="6" t="n">
        <x:v>2</x:v>
      </x:c>
      <x:c r="Q2" s="8" t="n">
        <x:v>0.6774095096</x:v>
      </x:c>
      <x:c r="R2" s="8" t="n">
        <x:v>0.7897435897</x:v>
      </x:c>
      <x:c r="S2" s="6" t="n">
        <x:v>1</x:v>
      </x:c>
      <x:c r="T2" s="8" t="n">
        <x:f>(C2-Q2)^2</x:f>
        <x:v>0.4588836436965125</x:v>
      </x:c>
      <x:c r="U2" s="8" t="n">
        <x:f>(C2-R2)^2</x:f>
        <x:v>0.623694937472242</x:v>
      </x:c>
      <x:c r="W2" s="22" t="str">
        <x:v>临床v3</x:v>
      </x:c>
      <x:c r="X2" s="22" t="str">
        <x:v>https://www.cancerimagingarchive.net/wp-content/uploads/UCSD_PTGBM-clinical-information_v3_2026-12-Mar.xlsx</x:v>
      </x:c>
      <x:c r="Y2" s="22" t="str">
        <x:v>bbf40bbdd289266924869052806de4d7e8fc9ee73286cdc0cc066672ef5bb51d</x:v>
      </x:c>
    </x:row>
    <x:row r="3" ht="49" customHeight="1">
      <x:c r="A3" s="4" t="str">
        <x:v>UCSD-PTGBM-0002_01</x:v>
      </x:c>
      <x:c r="B3" s="4" t="str">
        <x:v>UCSD-PTGBM-0002</x:v>
      </x:c>
      <x:c r="C3" s="6" t="n">
        <x:v>0</x:v>
      </x:c>
      <x:c r="D3" s="4" t="str">
        <x:v>explicit_negative_case_list</x:v>
      </x:c>
      <x:c r="E3" s="4" t="str">
        <x:v>PsP (clinically confirmed)</x:v>
      </x:c>
      <x:c r="F3" s="6" t="n">
        <x:v>59</x:v>
      </x:c>
      <x:c r="G3" s="4" t="str">
        <x:v>Female</x:v>
      </x:c>
      <x:c r="H3" s="6" t="n">
        <x:v>0</x:v>
      </x:c>
      <x:c r="I3" s="4" t="str">
        <x:v>Glioblastoma</x:v>
      </x:c>
      <x:c r="J3" s="6" t="n">
        <x:v>0</x:v>
      </x:c>
      <x:c r="K3" s="6" t="n">
        <x:v>3</x:v>
      </x:c>
      <x:c r="L3" s="6" t="n">
        <x:v>3</x:v>
      </x:c>
      <x:c r="M3" s="6" t="n">
        <x:v>1</x:v>
      </x:c>
      <x:c r="N3" s="6" t="n">
        <x:v>1</x:v>
      </x:c>
      <x:c r="O3" s="4" t="str">
        <x:v>source_HGG_collection; complete_age_sex; broad_partition_label</x:v>
      </x:c>
      <x:c r="P3" s="6" t="n">
        <x:v>5</x:v>
      </x:c>
      <x:c r="Q3" s="8" t="n">
        <x:v>0.802358177</x:v>
      </x:c>
      <x:c r="R3" s="8" t="n">
        <x:v>0.7875647668</x:v>
      </x:c>
      <x:c r="S3" s="6" t="n">
        <x:v>1</x:v>
      </x:c>
      <x:c r="T3" s="8" t="n">
        <x:f>(C3-Q3)^2</x:f>
        <x:v>0.6437786441987633</x:v>
      </x:c>
      <x:c r="U3" s="8" t="n">
        <x:f>(C3-R3)^2</x:f>
        <x:v>0.6202582619047383</x:v>
      </x:c>
      <x:c r="W3" s="22" t="str">
        <x:v>negative-case明细</x:v>
      </x:c>
      <x:c r="X3" s="22" t="str">
        <x:v>https://www.cancerimagingarchive.net/wp-content/uploads/details_of_negative_cases_TCIA.xlsx</x:v>
      </x:c>
      <x:c r="Y3" s="22" t="str">
        <x:v>6d99db8ac1feac569e50c18ed214a1a761858fb8bfa614a29ec5f036946b96e4</x:v>
      </x:c>
    </x:row>
    <x:row r="4" ht="49" customHeight="1">
      <x:c r="A4" s="4" t="str">
        <x:v>UCSD-PTGBM-0003_01</x:v>
      </x:c>
      <x:c r="B4" s="4" t="str">
        <x:v>UCSD-PTGBM-0003</x:v>
      </x:c>
      <x:c r="C4" s="6" t="n">
        <x:v>1</x:v>
      </x:c>
      <x:c r="D4" s="4" t="str">
        <x:v>derived_from_published_243_equals_192_plus_51_partition</x:v>
      </x:c>
      <x:c r="E4" s="4"/>
      <x:c r="F4" s="6" t="n">
        <x:v>54</x:v>
      </x:c>
      <x:c r="G4" s="4" t="str">
        <x:v>Female</x:v>
      </x:c>
      <x:c r="H4" s="6" t="n">
        <x:v>0</x:v>
      </x:c>
      <x:c r="I4" s="4" t="str">
        <x:v>Glioblastoma</x:v>
      </x:c>
      <x:c r="J4" s="6" t="n">
        <x:v>0</x:v>
      </x:c>
      <x:c r="K4" s="6" t="n">
        <x:v>4</x:v>
      </x:c>
      <x:c r="L4" s="6"/>
      <x:c r="M4" s="6" t="n">
        <x:v>1</x:v>
      </x:c>
      <x:c r="N4" s="6" t="n">
        <x:v>1</x:v>
      </x:c>
      <x:c r="O4" s="4" t="str">
        <x:v>source_HGG_collection; complete_age_sex; broad_partition_label</x:v>
      </x:c>
      <x:c r="P4" s="6" t="n">
        <x:v>2</x:v>
      </x:c>
      <x:c r="Q4" s="8" t="n">
        <x:v>0.7202614316</x:v>
      </x:c>
      <x:c r="R4" s="8" t="n">
        <x:v>0.7897435897</x:v>
      </x:c>
      <x:c r="S4" s="6" t="n">
        <x:v>1</x:v>
      </x:c>
      <x:c r="T4" s="8" t="n">
        <x:f>(C4-Q4)^2</x:f>
        <x:v>0.07825366665048147</x:v>
      </x:c>
      <x:c r="U4" s="8" t="n">
        <x:f>(C4-R4)^2</x:f>
        <x:v>0.044207758072241934</x:v>
      </x:c>
      <x:c r="W4" s="22" t="str">
        <x:v>官方分组</x:v>
      </x:c>
      <x:c r="X4" s="22" t="str">
        <x:v>https://www.cancerimagingarchive.net/collection/ucsd-ptgbm/</x:v>
      </x:c>
      <x:c r="Y4" s="22" t="str">
        <x:v>243=192残余/复发肿瘤+51治疗改变；CC BY 4.0</x:v>
      </x:c>
    </x:row>
    <x:row r="5" ht="49" customHeight="1">
      <x:c r="A5" s="4" t="str">
        <x:v>UCSD-PTGBM-0004_01</x:v>
      </x:c>
      <x:c r="B5" s="4" t="str">
        <x:v>UCSD-PTGBM-0004</x:v>
      </x:c>
      <x:c r="C5" s="6" t="n">
        <x:v>1</x:v>
      </x:c>
      <x:c r="D5" s="4" t="str">
        <x:v>derived_from_published_243_equals_192_plus_51_partition</x:v>
      </x:c>
      <x:c r="E5" s="4"/>
      <x:c r="F5" s="6" t="n">
        <x:v>45</x:v>
      </x:c>
      <x:c r="G5" s="4" t="str">
        <x:v>Female</x:v>
      </x:c>
      <x:c r="H5" s="6" t="n">
        <x:v>0</x:v>
      </x:c>
      <x:c r="I5" s="4" t="str">
        <x:v>Glioblastoma</x:v>
      </x:c>
      <x:c r="J5" s="6" t="n">
        <x:v>0</x:v>
      </x:c>
      <x:c r="K5" s="6" t="n">
        <x:v>5</x:v>
      </x:c>
      <x:c r="L5" s="6"/>
      <x:c r="M5" s="6" t="n">
        <x:v>1</x:v>
      </x:c>
      <x:c r="N5" s="6" t="n">
        <x:v>1</x:v>
      </x:c>
      <x:c r="O5" s="4" t="str">
        <x:v>source_HGG_collection; complete_age_sex; broad_partition_label</x:v>
      </x:c>
      <x:c r="P5" s="6" t="n">
        <x:v>5</x:v>
      </x:c>
      <x:c r="Q5" s="8" t="n">
        <x:v>0.7326852292</x:v>
      </x:c>
      <x:c r="R5" s="8" t="n">
        <x:v>0.7875647668</x:v>
      </x:c>
      <x:c r="S5" s="6" t="n">
        <x:v>1</x:v>
      </x:c>
      <x:c r="T5" s="8" t="n">
        <x:f>(C5-Q5)^2</x:f>
        <x:v>0.07145718668785653</x:v>
      </x:c>
      <x:c r="U5" s="8" t="n">
        <x:f>(C5-R5)^2</x:f>
        <x:v>0.04512872830473839</x:v>
      </x:c>
      <x:c r="W5" s="22" t="str">
        <x:v>数据论文</x:v>
      </x:c>
      <x:c r="X5" s="22" t="str">
        <x:v>https://doi.org/10.1038/s41597-025-06499-z</x:v>
      </x:c>
      <x:c r="Y5" s="22" t="str">
        <x:v>保留原文出处；标签不等同逐例病理证实</x:v>
      </x:c>
    </x:row>
    <x:row r="6" ht="49" customHeight="1">
      <x:c r="A6" s="4" t="str">
        <x:v>UCSD-PTGBM-0004_02</x:v>
      </x:c>
      <x:c r="B6" s="4" t="str">
        <x:v>UCSD-PTGBM-0004</x:v>
      </x:c>
      <x:c r="C6" s="6" t="n">
        <x:v>0</x:v>
      </x:c>
      <x:c r="D6" s="4" t="str">
        <x:v>explicit_negative_case_list</x:v>
      </x:c>
      <x:c r="E6" s="4" t="str">
        <x:v>PsP (clinically confirmed)</x:v>
      </x:c>
      <x:c r="F6" s="6" t="n">
        <x:v>45</x:v>
      </x:c>
      <x:c r="G6" s="4" t="str">
        <x:v>Female</x:v>
      </x:c>
      <x:c r="H6" s="6" t="n">
        <x:v>0</x:v>
      </x:c>
      <x:c r="I6" s="4" t="str">
        <x:v>Glioblastoma</x:v>
      </x:c>
      <x:c r="J6" s="6" t="n">
        <x:v>0</x:v>
      </x:c>
      <x:c r="K6" s="6" t="n">
        <x:v>6</x:v>
      </x:c>
      <x:c r="L6" s="6" t="n">
        <x:v>4</x:v>
      </x:c>
      <x:c r="M6" s="6" t="n">
        <x:v>1</x:v>
      </x:c>
      <x:c r="N6" s="6" t="n">
        <x:v>1</x:v>
      </x:c>
      <x:c r="O6" s="4" t="str">
        <x:v>source_HGG_collection; complete_age_sex; broad_partition_label</x:v>
      </x:c>
      <x:c r="P6" s="6" t="n">
        <x:v>5</x:v>
      </x:c>
      <x:c r="Q6" s="8" t="n">
        <x:v>0.7326852292</x:v>
      </x:c>
      <x:c r="R6" s="8" t="n">
        <x:v>0.7875647668</x:v>
      </x:c>
      <x:c r="S6" s="6" t="n">
        <x:v>1</x:v>
      </x:c>
      <x:c r="T6" s="8" t="n">
        <x:f>(C6-Q6)^2</x:f>
        <x:v>0.5368276450878565</x:v>
      </x:c>
      <x:c r="U6" s="8" t="n">
        <x:f>(C6-R6)^2</x:f>
        <x:v>0.6202582619047383</x:v>
      </x:c>
      <x:c r="W6" s="22"/>
      <x:c r="X6" s="22"/>
      <x:c r="Y6" s="22"/>
    </x:row>
    <x:row r="7" ht="49" customHeight="1">
      <x:c r="A7" s="4" t="str">
        <x:v>UCSD-PTGBM-0005_01</x:v>
      </x:c>
      <x:c r="B7" s="4" t="str">
        <x:v>UCSD-PTGBM-0005</x:v>
      </x:c>
      <x:c r="C7" s="6" t="n">
        <x:v>1</x:v>
      </x:c>
      <x:c r="D7" s="4" t="str">
        <x:v>derived_from_published_243_equals_192_plus_51_partition</x:v>
      </x:c>
      <x:c r="E7" s="4"/>
      <x:c r="F7" s="6" t="n">
        <x:v>55</x:v>
      </x:c>
      <x:c r="G7" s="4" t="str">
        <x:v>Female</x:v>
      </x:c>
      <x:c r="H7" s="6" t="n">
        <x:v>0</x:v>
      </x:c>
      <x:c r="I7" s="4" t="str">
        <x:v>Glioblastoma</x:v>
      </x:c>
      <x:c r="J7" s="6" t="n">
        <x:v>0</x:v>
      </x:c>
      <x:c r="K7" s="6" t="n">
        <x:v>7</x:v>
      </x:c>
      <x:c r="L7" s="6"/>
      <x:c r="M7" s="6" t="n">
        <x:v>1</x:v>
      </x:c>
      <x:c r="N7" s="6" t="n">
        <x:v>1</x:v>
      </x:c>
      <x:c r="O7" s="4" t="str">
        <x:v>source_HGG_collection; complete_age_sex; broad_partition_label</x:v>
      </x:c>
      <x:c r="P7" s="6" t="n">
        <x:v>3</x:v>
      </x:c>
      <x:c r="Q7" s="8" t="n">
        <x:v>0.7299040485</x:v>
      </x:c>
      <x:c r="R7" s="8" t="n">
        <x:v>0.7897435897</x:v>
      </x:c>
      <x:c r="S7" s="6" t="n">
        <x:v>1</x:v>
      </x:c>
      <x:c r="T7" s="8" t="n">
        <x:f>(C7-Q7)^2</x:f>
        <x:v>0.07295182301669034</x:v>
      </x:c>
      <x:c r="U7" s="8" t="n">
        <x:f>(C7-R7)^2</x:f>
        <x:v>0.044207758072241934</x:v>
      </x:c>
      <x:c r="W7" s="22"/>
      <x:c r="X7" s="22"/>
      <x:c r="Y7" s="22"/>
    </x:row>
    <x:row r="8" ht="58" customHeight="1">
      <x:c r="A8" s="4" t="str">
        <x:v>UCSD-PTGBM-0005_02</x:v>
      </x:c>
      <x:c r="B8" s="4" t="str">
        <x:v>UCSD-PTGBM-0005</x:v>
      </x:c>
      <x:c r="C8" s="6" t="n">
        <x:v>0</x:v>
      </x:c>
      <x:c r="D8" s="4" t="str">
        <x:v>explicit_negative_case_list</x:v>
      </x:c>
      <x:c r="E8" s="4" t="str">
        <x:v>PsP (clinically confirmed)</x:v>
      </x:c>
      <x:c r="F8" s="6" t="n">
        <x:v>55</x:v>
      </x:c>
      <x:c r="G8" s="4" t="str">
        <x:v>Female</x:v>
      </x:c>
      <x:c r="H8" s="6" t="n">
        <x:v>0</x:v>
      </x:c>
      <x:c r="I8" s="4" t="str">
        <x:v>Glioblastoma</x:v>
      </x:c>
      <x:c r="J8" s="6" t="n">
        <x:v>0</x:v>
      </x:c>
      <x:c r="K8" s="6" t="n">
        <x:v>8</x:v>
      </x:c>
      <x:c r="L8" s="6" t="n">
        <x:v>5</x:v>
      </x:c>
      <x:c r="M8" s="6" t="n">
        <x:v>1</x:v>
      </x:c>
      <x:c r="N8" s="6" t="n">
        <x:v>1</x:v>
      </x:c>
      <x:c r="O8" s="4" t="str">
        <x:v>source_HGG_collection; complete_age_sex; broad_partition_label</x:v>
      </x:c>
      <x:c r="P8" s="6" t="n">
        <x:v>3</x:v>
      </x:c>
      <x:c r="Q8" s="8" t="n">
        <x:v>0.7299040485</x:v>
      </x:c>
      <x:c r="R8" s="8" t="n">
        <x:v>0.7897435897</x:v>
      </x:c>
      <x:c r="S8" s="6" t="n">
        <x:v>1</x:v>
      </x:c>
      <x:c r="T8" s="8" t="n">
        <x:f>(C8-Q8)^2</x:f>
        <x:v>0.5327599200166904</x:v>
      </x:c>
      <x:c r="U8" s="8" t="n">
        <x:f>(C8-R8)^2</x:f>
        <x:v>0.623694937472242</x:v>
      </x:c>
      <x:c r="W8" s="25" t="str">
        <x:v>字段/编码</x:v>
      </x:c>
      <x:c r="X8" s="25" t="str">
        <x:v>定义</x:v>
      </x:c>
      <x:c r="Y8" s="22"/>
    </x:row>
    <x:row r="9" ht="49" customHeight="1">
      <x:c r="A9" s="4" t="str">
        <x:v>UCSD-PTGBM-0006_01</x:v>
      </x:c>
      <x:c r="B9" s="4" t="str">
        <x:v>UCSD-PTGBM-0006</x:v>
      </x:c>
      <x:c r="C9" s="6" t="n">
        <x:v>1</x:v>
      </x:c>
      <x:c r="D9" s="4" t="str">
        <x:v>derived_from_published_243_equals_192_plus_51_partition</x:v>
      </x:c>
      <x:c r="E9" s="4"/>
      <x:c r="F9" s="6" t="n">
        <x:v>54</x:v>
      </x:c>
      <x:c r="G9" s="4" t="str">
        <x:v>Male</x:v>
      </x:c>
      <x:c r="H9" s="6" t="n">
        <x:v>1</x:v>
      </x:c>
      <x:c r="I9" s="4" t="str">
        <x:v>Glioblastoma</x:v>
      </x:c>
      <x:c r="J9" s="6" t="n">
        <x:v>0</x:v>
      </x:c>
      <x:c r="K9" s="6" t="n">
        <x:v>9</x:v>
      </x:c>
      <x:c r="L9" s="6"/>
      <x:c r="M9" s="6" t="n">
        <x:v>1</x:v>
      </x:c>
      <x:c r="N9" s="6" t="n">
        <x:v>1</x:v>
      </x:c>
      <x:c r="O9" s="4" t="str">
        <x:v>source_HGG_collection; complete_age_sex; broad_partition_label</x:v>
      </x:c>
      <x:c r="P9" s="6" t="n">
        <x:v>4</x:v>
      </x:c>
      <x:c r="Q9" s="8" t="n">
        <x:v>0.8184453166</x:v>
      </x:c>
      <x:c r="R9" s="8" t="n">
        <x:v>0.793814433</x:v>
      </x:c>
      <x:c r="S9" s="6" t="n">
        <x:v>1</x:v>
      </x:c>
      <x:c r="T9" s="8" t="n">
        <x:f>(C9-Q9)^2</x:f>
        <x:v>0.032962103064474245</x:v>
      </x:c>
      <x:c r="U9" s="8" t="n">
        <x:f>(C9-R9)^2</x:f>
        <x:v>0.04251248803911149</x:v>
      </x:c>
      <x:c r="W9" s="22" t="str">
        <x:v>tumor_label=1</x:v>
      </x:c>
      <x:c r="X9" s="22" t="str">
        <x:v>由官方完整分组及阴性清单补集推导的肿瘤</x:v>
      </x:c>
      <x:c r="Y9" s="22"/>
    </x:row>
    <x:row r="10" ht="49" customHeight="1">
      <x:c r="A10" s="4" t="str">
        <x:v>UCSD-PTGBM-0007_01</x:v>
      </x:c>
      <x:c r="B10" s="4" t="str">
        <x:v>UCSD-PTGBM-0007</x:v>
      </x:c>
      <x:c r="C10" s="6" t="n">
        <x:v>1</x:v>
      </x:c>
      <x:c r="D10" s="4" t="str">
        <x:v>derived_from_published_243_equals_192_plus_51_partition</x:v>
      </x:c>
      <x:c r="E10" s="4"/>
      <x:c r="F10" s="6" t="n">
        <x:v>61</x:v>
      </x:c>
      <x:c r="G10" s="4" t="str">
        <x:v>Female</x:v>
      </x:c>
      <x:c r="H10" s="6" t="n">
        <x:v>0</x:v>
      </x:c>
      <x:c r="I10" s="4" t="str">
        <x:v>Glioblastoma</x:v>
      </x:c>
      <x:c r="J10" s="6" t="n">
        <x:v>0</x:v>
      </x:c>
      <x:c r="K10" s="6" t="n">
        <x:v>10</x:v>
      </x:c>
      <x:c r="L10" s="6"/>
      <x:c r="M10" s="6" t="n">
        <x:v>1</x:v>
      </x:c>
      <x:c r="N10" s="6" t="n">
        <x:v>1</x:v>
      </x:c>
      <x:c r="O10" s="4" t="str">
        <x:v>source_HGG_collection; complete_age_sex; broad_partition_label</x:v>
      </x:c>
      <x:c r="P10" s="6" t="n">
        <x:v>2</x:v>
      </x:c>
      <x:c r="Q10" s="8" t="n">
        <x:v>0.7495886236</x:v>
      </x:c>
      <x:c r="R10" s="8" t="n">
        <x:v>0.7897435897</x:v>
      </x:c>
      <x:c r="S10" s="6" t="n">
        <x:v>1</x:v>
      </x:c>
      <x:c r="T10" s="8" t="n">
        <x:f>(C10-Q10)^2</x:f>
        <x:v>0.06270585743054248</x:v>
      </x:c>
      <x:c r="U10" s="8" t="n">
        <x:f>(C10-R10)^2</x:f>
        <x:v>0.044207758072241934</x:v>
      </x:c>
      <x:c r="W10" s="22" t="str">
        <x:v>tumor_label=0</x:v>
      </x:c>
      <x:c r="X10" s="22" t="str">
        <x:v>明确列于治疗相关改变清单；不是未来RN阴性</x:v>
      </x:c>
      <x:c r="Y10" s="22"/>
    </x:row>
    <x:row r="11" ht="49" customHeight="1">
      <x:c r="A11" s="4" t="str">
        <x:v>UCSD-PTGBM-0007_02</x:v>
      </x:c>
      <x:c r="B11" s="4" t="str">
        <x:v>UCSD-PTGBM-0007</x:v>
      </x:c>
      <x:c r="C11" s="6" t="n">
        <x:v>1</x:v>
      </x:c>
      <x:c r="D11" s="4" t="str">
        <x:v>derived_from_published_243_equals_192_plus_51_partition</x:v>
      </x:c>
      <x:c r="E11" s="4"/>
      <x:c r="F11" s="6" t="n">
        <x:v>61</x:v>
      </x:c>
      <x:c r="G11" s="4" t="str">
        <x:v>Female</x:v>
      </x:c>
      <x:c r="H11" s="6" t="n">
        <x:v>0</x:v>
      </x:c>
      <x:c r="I11" s="4" t="str">
        <x:v>Glioblastoma</x:v>
      </x:c>
      <x:c r="J11" s="6" t="n">
        <x:v>0</x:v>
      </x:c>
      <x:c r="K11" s="6" t="n">
        <x:v>11</x:v>
      </x:c>
      <x:c r="L11" s="6"/>
      <x:c r="M11" s="6" t="n">
        <x:v>1</x:v>
      </x:c>
      <x:c r="N11" s="6" t="n">
        <x:v>1</x:v>
      </x:c>
      <x:c r="O11" s="4" t="str">
        <x:v>source_HGG_collection; complete_age_sex; broad_partition_label</x:v>
      </x:c>
      <x:c r="P11" s="6" t="n">
        <x:v>2</x:v>
      </x:c>
      <x:c r="Q11" s="8" t="n">
        <x:v>0.7495886236</x:v>
      </x:c>
      <x:c r="R11" s="8" t="n">
        <x:v>0.7897435897</x:v>
      </x:c>
      <x:c r="S11" s="6" t="n">
        <x:v>1</x:v>
      </x:c>
      <x:c r="T11" s="8" t="n">
        <x:f>(C11-Q11)^2</x:f>
        <x:v>0.06270585743054248</x:v>
      </x:c>
      <x:c r="U11" s="8" t="n">
        <x:f>(C11-R11)^2</x:f>
        <x:v>0.044207758072241934</x:v>
      </x:c>
      <x:c r="W11" s="22" t="str">
        <x:v>age_years / sex_male</x:v>
      </x:c>
      <x:c r="X11" s="22" t="str">
        <x:v>年龄单位岁；Male=1，Female=0，均无缺失</x:v>
      </x:c>
      <x:c r="Y11" s="22"/>
    </x:row>
    <x:row r="12" ht="49" customHeight="1">
      <x:c r="A12" s="4" t="str">
        <x:v>UCSD-PTGBM-0008_01</x:v>
      </x:c>
      <x:c r="B12" s="4" t="str">
        <x:v>UCSD-PTGBM-0008</x:v>
      </x:c>
      <x:c r="C12" s="6" t="n">
        <x:v>1</x:v>
      </x:c>
      <x:c r="D12" s="4" t="str">
        <x:v>derived_from_published_243_equals_192_plus_51_partition</x:v>
      </x:c>
      <x:c r="E12" s="4"/>
      <x:c r="F12" s="6" t="n">
        <x:v>60</x:v>
      </x:c>
      <x:c r="G12" s="4" t="str">
        <x:v>Male</x:v>
      </x:c>
      <x:c r="H12" s="6" t="n">
        <x:v>1</x:v>
      </x:c>
      <x:c r="I12" s="4" t="str">
        <x:v>Glioblastoma</x:v>
      </x:c>
      <x:c r="J12" s="6" t="n">
        <x:v>0</x:v>
      </x:c>
      <x:c r="K12" s="6" t="n">
        <x:v>12</x:v>
      </x:c>
      <x:c r="L12" s="6"/>
      <x:c r="M12" s="6" t="n">
        <x:v>1</x:v>
      </x:c>
      <x:c r="N12" s="6" t="n">
        <x:v>1</x:v>
      </x:c>
      <x:c r="O12" s="4" t="str">
        <x:v>source_HGG_collection; complete_age_sex; broad_partition_label</x:v>
      </x:c>
      <x:c r="P12" s="6" t="n">
        <x:v>4</x:v>
      </x:c>
      <x:c r="Q12" s="8" t="n">
        <x:v>0.8417338609</x:v>
      </x:c>
      <x:c r="R12" s="8" t="n">
        <x:v>0.793814433</x:v>
      </x:c>
      <x:c r="S12" s="6" t="n">
        <x:v>1</x:v>
      </x:c>
      <x:c r="T12" s="8" t="n">
        <x:f>(C12-Q12)^2</x:f>
        <x:v>0.025048170785620542</x:v>
      </x:c>
      <x:c r="U12" s="8" t="n">
        <x:f>(C12-R12)^2</x:f>
        <x:v>0.04251248803911149</x:v>
      </x:c>
      <x:c r="W12" s="22" t="str">
        <x:v>negative_list_dx / label_source</x:v>
      </x:c>
      <x:c r="X12" s="22" t="str">
        <x:v>原始亚型和标签来源，仅作审计，不作为输入</x:v>
      </x:c>
      <x:c r="Y12" s="22"/>
    </x:row>
    <x:row r="13" ht="49" customHeight="1">
      <x:c r="A13" s="4" t="str">
        <x:v>UCSD-PTGBM-0008_02</x:v>
      </x:c>
      <x:c r="B13" s="4" t="str">
        <x:v>UCSD-PTGBM-0008</x:v>
      </x:c>
      <x:c r="C13" s="6" t="n">
        <x:v>0</x:v>
      </x:c>
      <x:c r="D13" s="4" t="str">
        <x:v>explicit_negative_case_list</x:v>
      </x:c>
      <x:c r="E13" s="4" t="str">
        <x:v>PsP (clinically confirmed)</x:v>
      </x:c>
      <x:c r="F13" s="6" t="n">
        <x:v>60</x:v>
      </x:c>
      <x:c r="G13" s="4" t="str">
        <x:v>Male</x:v>
      </x:c>
      <x:c r="H13" s="6" t="n">
        <x:v>1</x:v>
      </x:c>
      <x:c r="I13" s="4" t="str">
        <x:v>Glioblastoma</x:v>
      </x:c>
      <x:c r="J13" s="6" t="n">
        <x:v>0</x:v>
      </x:c>
      <x:c r="K13" s="6" t="n">
        <x:v>13</x:v>
      </x:c>
      <x:c r="L13" s="6" t="n">
        <x:v>6</x:v>
      </x:c>
      <x:c r="M13" s="6" t="n">
        <x:v>1</x:v>
      </x:c>
      <x:c r="N13" s="6" t="n">
        <x:v>1</x:v>
      </x:c>
      <x:c r="O13" s="4" t="str">
        <x:v>source_HGG_collection; complete_age_sex; broad_partition_label</x:v>
      </x:c>
      <x:c r="P13" s="6" t="n">
        <x:v>4</x:v>
      </x:c>
      <x:c r="Q13" s="8" t="n">
        <x:v>0.8417338609</x:v>
      </x:c>
      <x:c r="R13" s="8" t="n">
        <x:v>0.793814433</x:v>
      </x:c>
      <x:c r="S13" s="6" t="n">
        <x:v>1</x:v>
      </x:c>
      <x:c r="T13" s="8" t="n">
        <x:f>(C13-Q13)^2</x:f>
        <x:v>0.7085158925856205</x:v>
      </x:c>
      <x:c r="U13" s="8" t="n">
        <x:f>(C13-R13)^2</x:f>
        <x:v>0.6301413540391114</x:v>
      </x:c>
      <x:c r="W13" s="22" t="str">
        <x:v>diagnosis_text_anomaly</x:v>
      </x:c>
      <x:c r="X13" s="22" t="str">
        <x:v>源文本含Grade 5；保留原值，不作预测输入</x:v>
      </x:c>
      <x:c r="Y13" s="22"/>
    </x:row>
    <x:row r="14" ht="49" customHeight="1">
      <x:c r="A14" s="4" t="str">
        <x:v>UCSD-PTGBM-0008_03</x:v>
      </x:c>
      <x:c r="B14" s="4" t="str">
        <x:v>UCSD-PTGBM-0008</x:v>
      </x:c>
      <x:c r="C14" s="6" t="n">
        <x:v>0</x:v>
      </x:c>
      <x:c r="D14" s="4" t="str">
        <x:v>explicit_negative_case_list</x:v>
      </x:c>
      <x:c r="E14" s="4" t="str">
        <x:v>PsP (clinically confirmed)</x:v>
      </x:c>
      <x:c r="F14" s="6" t="n">
        <x:v>60</x:v>
      </x:c>
      <x:c r="G14" s="4" t="str">
        <x:v>Male</x:v>
      </x:c>
      <x:c r="H14" s="6" t="n">
        <x:v>1</x:v>
      </x:c>
      <x:c r="I14" s="4" t="str">
        <x:v>Glioblastoma</x:v>
      </x:c>
      <x:c r="J14" s="6" t="n">
        <x:v>0</x:v>
      </x:c>
      <x:c r="K14" s="6" t="n">
        <x:v>14</x:v>
      </x:c>
      <x:c r="L14" s="6" t="n">
        <x:v>7</x:v>
      </x:c>
      <x:c r="M14" s="6" t="n">
        <x:v>1</x:v>
      </x:c>
      <x:c r="N14" s="6" t="n">
        <x:v>1</x:v>
      </x:c>
      <x:c r="O14" s="4" t="str">
        <x:v>source_HGG_collection; complete_age_sex; broad_partition_label</x:v>
      </x:c>
      <x:c r="P14" s="6" t="n">
        <x:v>4</x:v>
      </x:c>
      <x:c r="Q14" s="8" t="n">
        <x:v>0.8417338609</x:v>
      </x:c>
      <x:c r="R14" s="8" t="n">
        <x:v>0.793814433</x:v>
      </x:c>
      <x:c r="S14" s="6" t="n">
        <x:v>1</x:v>
      </x:c>
      <x:c r="T14" s="8" t="n">
        <x:f>(C14-Q14)^2</x:f>
        <x:v>0.7085158925856205</x:v>
      </x:c>
      <x:c r="U14" s="8" t="n">
        <x:f>(C14-R14)^2</x:f>
        <x:v>0.6301413540391114</x:v>
      </x:c>
      <x:c r="W14" s="22" t="str">
        <x:v>validation_fold / oof_tumor_probability</x:v>
      </x:c>
      <x:c r="X14" s="22" t="str">
        <x:v>患者分组验证折；每次扫描的折外肿瘤概率</x:v>
      </x:c>
      <x:c r="Y14" s="22"/>
    </x:row>
    <x:row r="15" ht="49" customHeight="1">
      <x:c r="A15" s="4" t="str">
        <x:v>UCSD-PTGBM-0009_01</x:v>
      </x:c>
      <x:c r="B15" s="4" t="str">
        <x:v>UCSD-PTGBM-0009</x:v>
      </x:c>
      <x:c r="C15" s="6" t="n">
        <x:v>1</x:v>
      </x:c>
      <x:c r="D15" s="4" t="str">
        <x:v>derived_from_published_243_equals_192_plus_51_partition</x:v>
      </x:c>
      <x:c r="E15" s="4"/>
      <x:c r="F15" s="6" t="n">
        <x:v>61</x:v>
      </x:c>
      <x:c r="G15" s="4" t="str">
        <x:v>Male</x:v>
      </x:c>
      <x:c r="H15" s="6" t="n">
        <x:v>1</x:v>
      </x:c>
      <x:c r="I15" s="4" t="str">
        <x:v>Glioblastoma</x:v>
      </x:c>
      <x:c r="J15" s="6" t="n">
        <x:v>0</x:v>
      </x:c>
      <x:c r="K15" s="6" t="n">
        <x:v>15</x:v>
      </x:c>
      <x:c r="L15" s="6"/>
      <x:c r="M15" s="6" t="n">
        <x:v>1</x:v>
      </x:c>
      <x:c r="N15" s="6" t="n">
        <x:v>1</x:v>
      </x:c>
      <x:c r="O15" s="4" t="str">
        <x:v>source_HGG_collection; complete_age_sex; broad_partition_label</x:v>
      </x:c>
      <x:c r="P15" s="6" t="n">
        <x:v>2</x:v>
      </x:c>
      <x:c r="Q15" s="8" t="n">
        <x:v>0.8353919264</x:v>
      </x:c>
      <x:c r="R15" s="8" t="n">
        <x:v>0.7897435897</x:v>
      </x:c>
      <x:c r="S15" s="6" t="n">
        <x:v>1</x:v>
      </x:c>
      <x:c r="T15" s="8" t="n">
        <x:f>(C15-Q15)^2</x:f>
        <x:v>0.027095817894303004</x:v>
      </x:c>
      <x:c r="U15" s="8" t="n">
        <x:f>(C15-R15)^2</x:f>
        <x:v>0.044207758072241934</x:v>
      </x:c>
      <x:c r="W15" s="22" t="str">
        <x:v>logistic_squared_error / prior_squared_error</x:v>
      </x:c>
      <x:c r="X15" s="22" t="str">
        <x:v>真实0/1标签与概率之差的平方，平均即Brier</x:v>
      </x:c>
      <x:c r="Y15" s="22"/>
    </x:row>
    <x:row r="16" ht="49" customHeight="1">
      <x:c r="A16" s="4" t="str">
        <x:v>UCSD-PTGBM-0010_01</x:v>
      </x:c>
      <x:c r="B16" s="4" t="str">
        <x:v>UCSD-PTGBM-0010</x:v>
      </x:c>
      <x:c r="C16" s="6" t="n">
        <x:v>0</x:v>
      </x:c>
      <x:c r="D16" s="4" t="str">
        <x:v>explicit_negative_case_list</x:v>
      </x:c>
      <x:c r="E16" s="4" t="str">
        <x:v>PsP (clinically confirmed)</x:v>
      </x:c>
      <x:c r="F16" s="6" t="n">
        <x:v>73</x:v>
      </x:c>
      <x:c r="G16" s="4" t="str">
        <x:v>Male</x:v>
      </x:c>
      <x:c r="H16" s="6" t="n">
        <x:v>1</x:v>
      </x:c>
      <x:c r="I16" s="4" t="str">
        <x:v>Glioblastoma</x:v>
      </x:c>
      <x:c r="J16" s="6" t="n">
        <x:v>0</x:v>
      </x:c>
      <x:c r="K16" s="6" t="n">
        <x:v>16</x:v>
      </x:c>
      <x:c r="L16" s="6" t="n">
        <x:v>8</x:v>
      </x:c>
      <x:c r="M16" s="6" t="n">
        <x:v>1</x:v>
      </x:c>
      <x:c r="N16" s="6" t="n">
        <x:v>1</x:v>
      </x:c>
      <x:c r="O16" s="4" t="str">
        <x:v>source_HGG_collection; complete_age_sex; broad_partition_label</x:v>
      </x:c>
      <x:c r="P16" s="6" t="n">
        <x:v>3</x:v>
      </x:c>
      <x:c r="Q16" s="8" t="n">
        <x:v>0.9020301135</x:v>
      </x:c>
      <x:c r="R16" s="8" t="n">
        <x:v>0.7897435897</x:v>
      </x:c>
      <x:c r="S16" s="6" t="n">
        <x:v>1</x:v>
      </x:c>
      <x:c r="T16" s="8" t="n">
        <x:f>(C16-Q16)^2</x:f>
        <x:v>0.8136583256608227</x:v>
      </x:c>
      <x:c r="U16" s="8" t="n">
        <x:f>(C16-R16)^2</x:f>
        <x:v>0.623694937472242</x:v>
      </x:c>
      <x:c r="W16" s="22" t="str">
        <x:v>刷新说明</x:v>
      </x:c>
      <x:c r="X16" s="22" t="str">
        <x:v>修改表格不会重训模型；须重跑Python和构建器</x:v>
      </x:c>
      <x:c r="Y16" s="22"/>
    </x:row>
    <x:row r="17" ht="28" customHeight="1">
      <x:c r="A17" s="4" t="str">
        <x:v>UCSD-PTGBM-0011_01</x:v>
      </x:c>
      <x:c r="B17" s="4" t="str">
        <x:v>UCSD-PTGBM-0011</x:v>
      </x:c>
      <x:c r="C17" s="6" t="n">
        <x:v>0</x:v>
      </x:c>
      <x:c r="D17" s="4" t="str">
        <x:v>explicit_negative_case_list</x:v>
      </x:c>
      <x:c r="E17" s="4" t="str">
        <x:v>PsP (clinically confirmed)</x:v>
      </x:c>
      <x:c r="F17" s="6" t="n">
        <x:v>54</x:v>
      </x:c>
      <x:c r="G17" s="4" t="str">
        <x:v>Female</x:v>
      </x:c>
      <x:c r="H17" s="6" t="n">
        <x:v>0</x:v>
      </x:c>
      <x:c r="I17" s="4" t="str">
        <x:v>Anaplastic Astrocytoma</x:v>
      </x:c>
      <x:c r="J17" s="6" t="n">
        <x:v>0</x:v>
      </x:c>
      <x:c r="K17" s="6" t="n">
        <x:v>17</x:v>
      </x:c>
      <x:c r="L17" s="6" t="n">
        <x:v>9</x:v>
      </x:c>
      <x:c r="M17" s="6" t="n">
        <x:v>1</x:v>
      </x:c>
      <x:c r="N17" s="6" t="n">
        <x:v>1</x:v>
      </x:c>
      <x:c r="O17" s="4" t="str">
        <x:v>source_HGG_collection; complete_age_sex; broad_partition_label</x:v>
      </x:c>
      <x:c r="P17" s="6" t="n">
        <x:v>3</x:v>
      </x:c>
      <x:c r="Q17" s="8" t="n">
        <x:v>0.7218437146</x:v>
      </x:c>
      <x:c r="R17" s="8" t="n">
        <x:v>0.7897435897</x:v>
      </x:c>
      <x:c r="S17" s="6" t="n">
        <x:v>1</x:v>
      </x:c>
      <x:c r="T17" s="8" t="n">
        <x:f>(C17-Q17)^2</x:f>
        <x:v>0.5210583483075262</x:v>
      </x:c>
      <x:c r="U17" s="8" t="n">
        <x:f>(C17-R17)^2</x:f>
        <x:v>0.623694937472242</x:v>
      </x:c>
    </x:row>
    <x:row r="18" ht="28" customHeight="1">
      <x:c r="A18" s="4" t="str">
        <x:v>UCSD-PTGBM-0012_01</x:v>
      </x:c>
      <x:c r="B18" s="4" t="str">
        <x:v>UCSD-PTGBM-0012</x:v>
      </x:c>
      <x:c r="C18" s="6" t="n">
        <x:v>0</x:v>
      </x:c>
      <x:c r="D18" s="4" t="str">
        <x:v>explicit_negative_case_list</x:v>
      </x:c>
      <x:c r="E18" s="4" t="str">
        <x:v>PsP (clinically confirmed)</x:v>
      </x:c>
      <x:c r="F18" s="6" t="n">
        <x:v>55</x:v>
      </x:c>
      <x:c r="G18" s="4" t="str">
        <x:v>Male</x:v>
      </x:c>
      <x:c r="H18" s="6" t="n">
        <x:v>1</x:v>
      </x:c>
      <x:c r="I18" s="4" t="str">
        <x:v>Glioblastoma</x:v>
      </x:c>
      <x:c r="J18" s="6" t="n">
        <x:v>0</x:v>
      </x:c>
      <x:c r="K18" s="6" t="n">
        <x:v>18</x:v>
      </x:c>
      <x:c r="L18" s="6" t="n">
        <x:v>10</x:v>
      </x:c>
      <x:c r="M18" s="6" t="n">
        <x:v>1</x:v>
      </x:c>
      <x:c r="N18" s="6" t="n">
        <x:v>1</x:v>
      </x:c>
      <x:c r="O18" s="4" t="str">
        <x:v>source_HGG_collection; complete_age_sex; broad_partition_label</x:v>
      </x:c>
      <x:c r="P18" s="6" t="n">
        <x:v>4</x:v>
      </x:c>
      <x:c r="Q18" s="8" t="n">
        <x:v>0.8225040648</x:v>
      </x:c>
      <x:c r="R18" s="8" t="n">
        <x:v>0.793814433</x:v>
      </x:c>
      <x:c r="S18" s="6" t="n">
        <x:v>1</x:v>
      </x:c>
      <x:c r="T18" s="8" t="n">
        <x:f>(C18-Q18)^2</x:f>
        <x:v>0.6765129366125227</x:v>
      </x:c>
      <x:c r="U18" s="8" t="n">
        <x:f>(C18-R18)^2</x:f>
        <x:v>0.6301413540391114</x:v>
      </x:c>
    </x:row>
    <x:row r="19" ht="28" customHeight="1">
      <x:c r="A19" s="4" t="str">
        <x:v>UCSD-PTGBM-0013_01</x:v>
      </x:c>
      <x:c r="B19" s="4" t="str">
        <x:v>UCSD-PTGBM-0013</x:v>
      </x:c>
      <x:c r="C19" s="6" t="n">
        <x:v>1</x:v>
      </x:c>
      <x:c r="D19" s="4" t="str">
        <x:v>derived_from_published_243_equals_192_plus_51_partition</x:v>
      </x:c>
      <x:c r="E19" s="4"/>
      <x:c r="F19" s="6" t="n">
        <x:v>60</x:v>
      </x:c>
      <x:c r="G19" s="4" t="str">
        <x:v>Male</x:v>
      </x:c>
      <x:c r="H19" s="6" t="n">
        <x:v>1</x:v>
      </x:c>
      <x:c r="I19" s="4" t="str">
        <x:v>Glioblastoma</x:v>
      </x:c>
      <x:c r="J19" s="6" t="n">
        <x:v>0</x:v>
      </x:c>
      <x:c r="K19" s="6" t="n">
        <x:v>19</x:v>
      </x:c>
      <x:c r="L19" s="6"/>
      <x:c r="M19" s="6" t="n">
        <x:v>1</x:v>
      </x:c>
      <x:c r="N19" s="6" t="n">
        <x:v>1</x:v>
      </x:c>
      <x:c r="O19" s="4" t="str">
        <x:v>source_HGG_collection; complete_age_sex; broad_partition_label</x:v>
      </x:c>
      <x:c r="P19" s="6" t="n">
        <x:v>5</x:v>
      </x:c>
      <x:c r="Q19" s="8" t="n">
        <x:v>0.8199586023</x:v>
      </x:c>
      <x:c r="R19" s="8" t="n">
        <x:v>0.7875647668</x:v>
      </x:c>
      <x:c r="S19" s="6" t="n">
        <x:v>1</x:v>
      </x:c>
      <x:c r="T19" s="8" t="n">
        <x:f>(C19-Q19)^2</x:f>
        <x:v>0.032414904885769584</x:v>
      </x:c>
      <x:c r="U19" s="8" t="n">
        <x:f>(C19-R19)^2</x:f>
        <x:v>0.04512872830473839</x:v>
      </x:c>
    </x:row>
    <x:row r="20" ht="28" customHeight="1">
      <x:c r="A20" s="4" t="str">
        <x:v>UCSD-PTGBM-0014_01</x:v>
      </x:c>
      <x:c r="B20" s="4" t="str">
        <x:v>UCSD-PTGBM-0014</x:v>
      </x:c>
      <x:c r="C20" s="6" t="n">
        <x:v>0</x:v>
      </x:c>
      <x:c r="D20" s="4" t="str">
        <x:v>explicit_negative_case_list</x:v>
      </x:c>
      <x:c r="E20" s="4" t="str">
        <x:v>NS</x:v>
      </x:c>
      <x:c r="F20" s="6" t="n">
        <x:v>50</x:v>
      </x:c>
      <x:c r="G20" s="4" t="str">
        <x:v>Male</x:v>
      </x:c>
      <x:c r="H20" s="6" t="n">
        <x:v>1</x:v>
      </x:c>
      <x:c r="I20" s="4" t="str">
        <x:v>Glioblastoma</x:v>
      </x:c>
      <x:c r="J20" s="6" t="n">
        <x:v>0</x:v>
      </x:c>
      <x:c r="K20" s="6" t="n">
        <x:v>20</x:v>
      </x:c>
      <x:c r="L20" s="6" t="n">
        <x:v>11</x:v>
      </x:c>
      <x:c r="M20" s="6" t="n">
        <x:v>1</x:v>
      </x:c>
      <x:c r="N20" s="6" t="n">
        <x:v>1</x:v>
      </x:c>
      <x:c r="O20" s="4" t="str">
        <x:v>source_HGG_collection; complete_age_sex; broad_partition_label</x:v>
      </x:c>
      <x:c r="P20" s="6" t="n">
        <x:v>2</x:v>
      </x:c>
      <x:c r="Q20" s="8" t="n">
        <x:v>0.8002057973</x:v>
      </x:c>
      <x:c r="R20" s="8" t="n">
        <x:v>0.7897435897</x:v>
      </x:c>
      <x:c r="S20" s="6" t="n">
        <x:v>1</x:v>
      </x:c>
      <x:c r="T20" s="8" t="n">
        <x:f>(C20-Q20)^2</x:f>
        <x:v>0.6403293180325287</x:v>
      </x:c>
      <x:c r="U20" s="8" t="n">
        <x:f>(C20-R20)^2</x:f>
        <x:v>0.623694937472242</x:v>
      </x:c>
    </x:row>
    <x:row r="21" ht="28" customHeight="1">
      <x:c r="A21" s="4" t="str">
        <x:v>UCSD-PTGBM-0015_01</x:v>
      </x:c>
      <x:c r="B21" s="4" t="str">
        <x:v>UCSD-PTGBM-0015</x:v>
      </x:c>
      <x:c r="C21" s="6" t="n">
        <x:v>0</x:v>
      </x:c>
      <x:c r="D21" s="4" t="str">
        <x:v>explicit_negative_case_list</x:v>
      </x:c>
      <x:c r="E21" s="4" t="str">
        <x:v>PsP (bx proven)</x:v>
      </x:c>
      <x:c r="F21" s="6" t="n">
        <x:v>45</x:v>
      </x:c>
      <x:c r="G21" s="4" t="str">
        <x:v>Female</x:v>
      </x:c>
      <x:c r="H21" s="6" t="n">
        <x:v>0</x:v>
      </x:c>
      <x:c r="I21" s="4" t="str">
        <x:v>Glioblastoma</x:v>
      </x:c>
      <x:c r="J21" s="6" t="n">
        <x:v>0</x:v>
      </x:c>
      <x:c r="K21" s="6" t="n">
        <x:v>21</x:v>
      </x:c>
      <x:c r="L21" s="6" t="n">
        <x:v>12</x:v>
      </x:c>
      <x:c r="M21" s="6" t="n">
        <x:v>1</x:v>
      </x:c>
      <x:c r="N21" s="6" t="n">
        <x:v>1</x:v>
      </x:c>
      <x:c r="O21" s="4" t="str">
        <x:v>source_HGG_collection; complete_age_sex; broad_partition_label</x:v>
      </x:c>
      <x:c r="P21" s="6" t="n">
        <x:v>3</x:v>
      </x:c>
      <x:c r="Q21" s="8" t="n">
        <x:v>0.6431432139</x:v>
      </x:c>
      <x:c r="R21" s="8" t="n">
        <x:v>0.7897435897</x:v>
      </x:c>
      <x:c r="S21" s="6" t="n">
        <x:v>1</x:v>
      </x:c>
      <x:c r="T21" s="8" t="n">
        <x:f>(C21-Q21)^2</x:f>
        <x:v>0.4136331935856211</x:v>
      </x:c>
      <x:c r="U21" s="8" t="n">
        <x:f>(C21-R21)^2</x:f>
        <x:v>0.623694937472242</x:v>
      </x:c>
    </x:row>
    <x:row r="22" ht="28" customHeight="1">
      <x:c r="A22" s="4" t="str">
        <x:v>UCSD-PTGBM-0016_01</x:v>
      </x:c>
      <x:c r="B22" s="4" t="str">
        <x:v>UCSD-PTGBM-0016</x:v>
      </x:c>
      <x:c r="C22" s="6" t="n">
        <x:v>0</x:v>
      </x:c>
      <x:c r="D22" s="4" t="str">
        <x:v>explicit_negative_case_list</x:v>
      </x:c>
      <x:c r="E22" s="4" t="str">
        <x:v>NS</x:v>
      </x:c>
      <x:c r="F22" s="6" t="n">
        <x:v>29</x:v>
      </x:c>
      <x:c r="G22" s="4" t="str">
        <x:v>Female</x:v>
      </x:c>
      <x:c r="H22" s="6" t="n">
        <x:v>0</x:v>
      </x:c>
      <x:c r="I22" s="4" t="str">
        <x:v>Glioblastoma</x:v>
      </x:c>
      <x:c r="J22" s="6" t="n">
        <x:v>0</x:v>
      </x:c>
      <x:c r="K22" s="6" t="n">
        <x:v>22</x:v>
      </x:c>
      <x:c r="L22" s="6" t="n">
        <x:v>13</x:v>
      </x:c>
      <x:c r="M22" s="6" t="n">
        <x:v>1</x:v>
      </x:c>
      <x:c r="N22" s="6" t="n">
        <x:v>1</x:v>
      </x:c>
      <x:c r="O22" s="4" t="str">
        <x:v>source_HGG_collection; complete_age_sex; broad_partition_label</x:v>
      </x:c>
      <x:c r="P22" s="6" t="n">
        <x:v>5</x:v>
      </x:c>
      <x:c r="Q22" s="8" t="n">
        <x:v>0.636305434</x:v>
      </x:c>
      <x:c r="R22" s="8" t="n">
        <x:v>0.7875647668</x:v>
      </x:c>
      <x:c r="S22" s="6" t="n">
        <x:v>1</x:v>
      </x:c>
      <x:c r="T22" s="8" t="n">
        <x:f>(C22-Q22)^2</x:f>
        <x:v>0.4048846053379283</x:v>
      </x:c>
      <x:c r="U22" s="8" t="n">
        <x:f>(C22-R22)^2</x:f>
        <x:v>0.6202582619047383</x:v>
      </x:c>
    </x:row>
    <x:row r="23" ht="28" customHeight="1">
      <x:c r="A23" s="4" t="str">
        <x:v>UCSD-PTGBM-0017_01</x:v>
      </x:c>
      <x:c r="B23" s="4" t="str">
        <x:v>UCSD-PTGBM-0017</x:v>
      </x:c>
      <x:c r="C23" s="6" t="n">
        <x:v>0</x:v>
      </x:c>
      <x:c r="D23" s="4" t="str">
        <x:v>explicit_negative_case_list</x:v>
      </x:c>
      <x:c r="E23" s="4" t="str">
        <x:v>PsP (bx proven)</x:v>
      </x:c>
      <x:c r="F23" s="6" t="n">
        <x:v>27</x:v>
      </x:c>
      <x:c r="G23" s="4" t="str">
        <x:v>Male</x:v>
      </x:c>
      <x:c r="H23" s="6" t="n">
        <x:v>1</x:v>
      </x:c>
      <x:c r="I23" s="4" t="str">
        <x:v>Glioblastoma</x:v>
      </x:c>
      <x:c r="J23" s="6" t="n">
        <x:v>0</x:v>
      </x:c>
      <x:c r="K23" s="6" t="n">
        <x:v>23</x:v>
      </x:c>
      <x:c r="L23" s="6" t="n">
        <x:v>14</x:v>
      </x:c>
      <x:c r="M23" s="6" t="n">
        <x:v>1</x:v>
      </x:c>
      <x:c r="N23" s="6" t="n">
        <x:v>1</x:v>
      </x:c>
      <x:c r="O23" s="4" t="str">
        <x:v>source_HGG_collection; complete_age_sex; broad_partition_label</x:v>
      </x:c>
      <x:c r="P23" s="6" t="n">
        <x:v>2</x:v>
      </x:c>
      <x:c r="Q23" s="8" t="n">
        <x:v>0.7094167434</x:v>
      </x:c>
      <x:c r="R23" s="8" t="n">
        <x:v>0.7897435897</x:v>
      </x:c>
      <x:c r="S23" s="6" t="n">
        <x:v>1</x:v>
      </x:c>
      <x:c r="T23" s="8" t="n">
        <x:f>(C23-Q23)^2</x:f>
        <x:v>0.5032721158162615</x:v>
      </x:c>
      <x:c r="U23" s="8" t="n">
        <x:f>(C23-R23)^2</x:f>
        <x:v>0.623694937472242</x:v>
      </x:c>
    </x:row>
    <x:row r="24" ht="28" customHeight="1">
      <x:c r="A24" s="4" t="str">
        <x:v>UCSD-PTGBM-0017_02</x:v>
      </x:c>
      <x:c r="B24" s="4" t="str">
        <x:v>UCSD-PTGBM-0017</x:v>
      </x:c>
      <x:c r="C24" s="6" t="n">
        <x:v>0</x:v>
      </x:c>
      <x:c r="D24" s="4" t="str">
        <x:v>explicit_negative_case_list</x:v>
      </x:c>
      <x:c r="E24" s="4" t="str">
        <x:v>PsP (bx proven)</x:v>
      </x:c>
      <x:c r="F24" s="6" t="n">
        <x:v>27</x:v>
      </x:c>
      <x:c r="G24" s="4" t="str">
        <x:v>Male</x:v>
      </x:c>
      <x:c r="H24" s="6" t="n">
        <x:v>1</x:v>
      </x:c>
      <x:c r="I24" s="4" t="str">
        <x:v>Glioblastoma</x:v>
      </x:c>
      <x:c r="J24" s="6" t="n">
        <x:v>0</x:v>
      </x:c>
      <x:c r="K24" s="6" t="n">
        <x:v>24</x:v>
      </x:c>
      <x:c r="L24" s="6" t="n">
        <x:v>15</x:v>
      </x:c>
      <x:c r="M24" s="6" t="n">
        <x:v>1</x:v>
      </x:c>
      <x:c r="N24" s="6" t="n">
        <x:v>1</x:v>
      </x:c>
      <x:c r="O24" s="4" t="str">
        <x:v>source_HGG_collection; complete_age_sex; broad_partition_label</x:v>
      </x:c>
      <x:c r="P24" s="6" t="n">
        <x:v>2</x:v>
      </x:c>
      <x:c r="Q24" s="8" t="n">
        <x:v>0.7094167434</x:v>
      </x:c>
      <x:c r="R24" s="8" t="n">
        <x:v>0.7897435897</x:v>
      </x:c>
      <x:c r="S24" s="6" t="n">
        <x:v>1</x:v>
      </x:c>
      <x:c r="T24" s="8" t="n">
        <x:f>(C24-Q24)^2</x:f>
        <x:v>0.5032721158162615</x:v>
      </x:c>
      <x:c r="U24" s="8" t="n">
        <x:f>(C24-R24)^2</x:f>
        <x:v>0.623694937472242</x:v>
      </x:c>
    </x:row>
    <x:row r="25" ht="28" customHeight="1">
      <x:c r="A25" s="4" t="str">
        <x:v>UCSD-PTGBM-0018_01</x:v>
      </x:c>
      <x:c r="B25" s="4" t="str">
        <x:v>UCSD-PTGBM-0018</x:v>
      </x:c>
      <x:c r="C25" s="6" t="n">
        <x:v>0</x:v>
      </x:c>
      <x:c r="D25" s="4" t="str">
        <x:v>explicit_negative_case_list</x:v>
      </x:c>
      <x:c r="E25" s="4" t="str">
        <x:v>PsP (bx proven)</x:v>
      </x:c>
      <x:c r="F25" s="6" t="n">
        <x:v>26</x:v>
      </x:c>
      <x:c r="G25" s="4" t="str">
        <x:v>Male</x:v>
      </x:c>
      <x:c r="H25" s="6" t="n">
        <x:v>1</x:v>
      </x:c>
      <x:c r="I25" s="4" t="str">
        <x:v>Glioblastoma</x:v>
      </x:c>
      <x:c r="J25" s="6" t="n">
        <x:v>0</x:v>
      </x:c>
      <x:c r="K25" s="6" t="n">
        <x:v>25</x:v>
      </x:c>
      <x:c r="L25" s="6" t="n">
        <x:v>16</x:v>
      </x:c>
      <x:c r="M25" s="6" t="n">
        <x:v>1</x:v>
      </x:c>
      <x:c r="N25" s="6" t="n">
        <x:v>1</x:v>
      </x:c>
      <x:c r="O25" s="4" t="str">
        <x:v>source_HGG_collection; complete_age_sex; broad_partition_label</x:v>
      </x:c>
      <x:c r="P25" s="6" t="n">
        <x:v>3</x:v>
      </x:c>
      <x:c r="Q25" s="8" t="n">
        <x:v>0.578350087</x:v>
      </x:c>
      <x:c r="R25" s="8" t="n">
        <x:v>0.7897435897</x:v>
      </x:c>
      <x:c r="S25" s="6" t="n">
        <x:v>1</x:v>
      </x:c>
      <x:c r="T25" s="8" t="n">
        <x:f>(C25-Q25)^2</x:f>
        <x:v>0.33448882313290756</x:v>
      </x:c>
      <x:c r="U25" s="8" t="n">
        <x:f>(C25-R25)^2</x:f>
        <x:v>0.623694937472242</x:v>
      </x:c>
    </x:row>
    <x:row r="26" ht="28" customHeight="1">
      <x:c r="A26" s="4" t="str">
        <x:v>UCSD-PTGBM-0018_02</x:v>
      </x:c>
      <x:c r="B26" s="4" t="str">
        <x:v>UCSD-PTGBM-0018</x:v>
      </x:c>
      <x:c r="C26" s="6" t="n">
        <x:v>0</x:v>
      </x:c>
      <x:c r="D26" s="4" t="str">
        <x:v>explicit_negative_case_list</x:v>
      </x:c>
      <x:c r="E26" s="4" t="str">
        <x:v>PsP (bx proven)</x:v>
      </x:c>
      <x:c r="F26" s="6" t="n">
        <x:v>26</x:v>
      </x:c>
      <x:c r="G26" s="4" t="str">
        <x:v>Male</x:v>
      </x:c>
      <x:c r="H26" s="6" t="n">
        <x:v>1</x:v>
      </x:c>
      <x:c r="I26" s="4" t="str">
        <x:v>Glioblastoma</x:v>
      </x:c>
      <x:c r="J26" s="6" t="n">
        <x:v>0</x:v>
      </x:c>
      <x:c r="K26" s="6" t="n">
        <x:v>26</x:v>
      </x:c>
      <x:c r="L26" s="6" t="n">
        <x:v>17</x:v>
      </x:c>
      <x:c r="M26" s="6" t="n">
        <x:v>1</x:v>
      </x:c>
      <x:c r="N26" s="6" t="n">
        <x:v>1</x:v>
      </x:c>
      <x:c r="O26" s="4" t="str">
        <x:v>source_HGG_collection; complete_age_sex; broad_partition_label</x:v>
      </x:c>
      <x:c r="P26" s="6" t="n">
        <x:v>3</x:v>
      </x:c>
      <x:c r="Q26" s="8" t="n">
        <x:v>0.578350087</x:v>
      </x:c>
      <x:c r="R26" s="8" t="n">
        <x:v>0.7897435897</x:v>
      </x:c>
      <x:c r="S26" s="6" t="n">
        <x:v>1</x:v>
      </x:c>
      <x:c r="T26" s="8" t="n">
        <x:f>(C26-Q26)^2</x:f>
        <x:v>0.33448882313290756</x:v>
      </x:c>
      <x:c r="U26" s="8" t="n">
        <x:f>(C26-R26)^2</x:f>
        <x:v>0.623694937472242</x:v>
      </x:c>
    </x:row>
    <x:row r="27" ht="28" customHeight="1">
      <x:c r="A27" s="4" t="str">
        <x:v>UCSD-PTGBM-0019_01</x:v>
      </x:c>
      <x:c r="B27" s="4" t="str">
        <x:v>UCSD-PTGBM-0019</x:v>
      </x:c>
      <x:c r="C27" s="6" t="n">
        <x:v>0</x:v>
      </x:c>
      <x:c r="D27" s="4" t="str">
        <x:v>explicit_negative_case_list</x:v>
      </x:c>
      <x:c r="E27" s="4" t="str">
        <x:v>NS</x:v>
      </x:c>
      <x:c r="F27" s="6" t="n">
        <x:v>54</x:v>
      </x:c>
      <x:c r="G27" s="4" t="str">
        <x:v>Male</x:v>
      </x:c>
      <x:c r="H27" s="6" t="n">
        <x:v>1</x:v>
      </x:c>
      <x:c r="I27" s="4" t="str">
        <x:v>Glioblastoma</x:v>
      </x:c>
      <x:c r="J27" s="6" t="n">
        <x:v>0</x:v>
      </x:c>
      <x:c r="K27" s="6" t="n">
        <x:v>27</x:v>
      </x:c>
      <x:c r="L27" s="6" t="n">
        <x:v>18</x:v>
      </x:c>
      <x:c r="M27" s="6" t="n">
        <x:v>1</x:v>
      </x:c>
      <x:c r="N27" s="6" t="n">
        <x:v>1</x:v>
      </x:c>
      <x:c r="O27" s="4" t="str">
        <x:v>source_HGG_collection; complete_age_sex; broad_partition_label</x:v>
      </x:c>
      <x:c r="P27" s="6" t="n">
        <x:v>1</x:v>
      </x:c>
      <x:c r="Q27" s="8" t="n">
        <x:v>0.8058284341</x:v>
      </x:c>
      <x:c r="R27" s="8" t="n">
        <x:v>0.7897435897</x:v>
      </x:c>
      <x:c r="S27" s="6" t="n">
        <x:v>1</x:v>
      </x:c>
      <x:c r="T27" s="8" t="n">
        <x:f>(C27-Q27)^2</x:f>
        <x:v>0.6493594652040581</x:v>
      </x:c>
      <x:c r="U27" s="8" t="n">
        <x:f>(C27-R27)^2</x:f>
        <x:v>0.623694937472242</x:v>
      </x:c>
    </x:row>
    <x:row r="28" ht="28" customHeight="1">
      <x:c r="A28" s="4" t="str">
        <x:v>UCSD-PTGBM-0019_02</x:v>
      </x:c>
      <x:c r="B28" s="4" t="str">
        <x:v>UCSD-PTGBM-0019</x:v>
      </x:c>
      <x:c r="C28" s="6" t="n">
        <x:v>0</x:v>
      </x:c>
      <x:c r="D28" s="4" t="str">
        <x:v>explicit_negative_case_list</x:v>
      </x:c>
      <x:c r="E28" s="4" t="str">
        <x:v>PsP (bx proven)</x:v>
      </x:c>
      <x:c r="F28" s="6" t="n">
        <x:v>54</x:v>
      </x:c>
      <x:c r="G28" s="4" t="str">
        <x:v>Male</x:v>
      </x:c>
      <x:c r="H28" s="6" t="n">
        <x:v>1</x:v>
      </x:c>
      <x:c r="I28" s="4" t="str">
        <x:v>Glioblastoma</x:v>
      </x:c>
      <x:c r="J28" s="6" t="n">
        <x:v>0</x:v>
      </x:c>
      <x:c r="K28" s="6" t="n">
        <x:v>28</x:v>
      </x:c>
      <x:c r="L28" s="6" t="n">
        <x:v>19</x:v>
      </x:c>
      <x:c r="M28" s="6" t="n">
        <x:v>1</x:v>
      </x:c>
      <x:c r="N28" s="6" t="n">
        <x:v>1</x:v>
      </x:c>
      <x:c r="O28" s="4" t="str">
        <x:v>source_HGG_collection; complete_age_sex; broad_partition_label</x:v>
      </x:c>
      <x:c r="P28" s="6" t="n">
        <x:v>1</x:v>
      </x:c>
      <x:c r="Q28" s="8" t="n">
        <x:v>0.8058284341</x:v>
      </x:c>
      <x:c r="R28" s="8" t="n">
        <x:v>0.7897435897</x:v>
      </x:c>
      <x:c r="S28" s="6" t="n">
        <x:v>1</x:v>
      </x:c>
      <x:c r="T28" s="8" t="n">
        <x:f>(C28-Q28)^2</x:f>
        <x:v>0.6493594652040581</x:v>
      </x:c>
      <x:c r="U28" s="8" t="n">
        <x:f>(C28-R28)^2</x:f>
        <x:v>0.623694937472242</x:v>
      </x:c>
    </x:row>
    <x:row r="29" ht="28" customHeight="1">
      <x:c r="A29" s="4" t="str">
        <x:v>UCSD-PTGBM-0020_01</x:v>
      </x:c>
      <x:c r="B29" s="4" t="str">
        <x:v>UCSD-PTGBM-0020</x:v>
      </x:c>
      <x:c r="C29" s="6" t="n">
        <x:v>1</x:v>
      </x:c>
      <x:c r="D29" s="4" t="str">
        <x:v>derived_from_published_243_equals_192_plus_51_partition</x:v>
      </x:c>
      <x:c r="E29" s="4"/>
      <x:c r="F29" s="6" t="n">
        <x:v>53</x:v>
      </x:c>
      <x:c r="G29" s="4" t="str">
        <x:v>Male</x:v>
      </x:c>
      <x:c r="H29" s="6" t="n">
        <x:v>1</x:v>
      </x:c>
      <x:c r="I29" s="4" t="str">
        <x:v>Glioblastoma</x:v>
      </x:c>
      <x:c r="J29" s="6" t="n">
        <x:v>0</x:v>
      </x:c>
      <x:c r="K29" s="6" t="n">
        <x:v>29</x:v>
      </x:c>
      <x:c r="L29" s="6"/>
      <x:c r="M29" s="6" t="n">
        <x:v>1</x:v>
      </x:c>
      <x:c r="N29" s="6" t="n">
        <x:v>1</x:v>
      </x:c>
      <x:c r="O29" s="4" t="str">
        <x:v>source_HGG_collection; complete_age_sex; broad_partition_label</x:v>
      </x:c>
      <x:c r="P29" s="6" t="n">
        <x:v>5</x:v>
      </x:c>
      <x:c r="Q29" s="8" t="n">
        <x:v>0.7891255241</x:v>
      </x:c>
      <x:c r="R29" s="8" t="n">
        <x:v>0.7875647668</x:v>
      </x:c>
      <x:c r="S29" s="6" t="n">
        <x:v>1</x:v>
      </x:c>
      <x:c r="T29" s="8" t="n">
        <x:f>(C29-Q29)^2</x:f>
        <x:v>0.04446804458609967</x:v>
      </x:c>
      <x:c r="U29" s="8" t="n">
        <x:f>(C29-R29)^2</x:f>
        <x:v>0.04512872830473839</x:v>
      </x:c>
    </x:row>
    <x:row r="30" ht="28" customHeight="1">
      <x:c r="A30" s="4" t="str">
        <x:v>UCSD-PTGBM-0021_01</x:v>
      </x:c>
      <x:c r="B30" s="4" t="str">
        <x:v>UCSD-PTGBM-0021</x:v>
      </x:c>
      <x:c r="C30" s="6" t="n">
        <x:v>1</x:v>
      </x:c>
      <x:c r="D30" s="4" t="str">
        <x:v>derived_from_published_243_equals_192_plus_51_partition</x:v>
      </x:c>
      <x:c r="E30" s="4"/>
      <x:c r="F30" s="6" t="n">
        <x:v>60</x:v>
      </x:c>
      <x:c r="G30" s="4" t="str">
        <x:v>Male</x:v>
      </x:c>
      <x:c r="H30" s="6" t="n">
        <x:v>1</x:v>
      </x:c>
      <x:c r="I30" s="4" t="str">
        <x:v>Glioblastoma</x:v>
      </x:c>
      <x:c r="J30" s="6" t="n">
        <x:v>0</x:v>
      </x:c>
      <x:c r="K30" s="6" t="n">
        <x:v>30</x:v>
      </x:c>
      <x:c r="L30" s="6"/>
      <x:c r="M30" s="6" t="n">
        <x:v>1</x:v>
      </x:c>
      <x:c r="N30" s="6" t="n">
        <x:v>1</x:v>
      </x:c>
      <x:c r="O30" s="4" t="str">
        <x:v>source_HGG_collection; complete_age_sex; broad_partition_label</x:v>
      </x:c>
      <x:c r="P30" s="6" t="n">
        <x:v>1</x:v>
      </x:c>
      <x:c r="Q30" s="8" t="n">
        <x:v>0.8319993934</x:v>
      </x:c>
      <x:c r="R30" s="8" t="n">
        <x:v>0.7897435897</x:v>
      </x:c>
      <x:c r="S30" s="6" t="n">
        <x:v>1</x:v>
      </x:c>
      <x:c r="T30" s="8" t="n">
        <x:f>(C30-Q30)^2</x:f>
        <x:v>0.028224203817967978</x:v>
      </x:c>
      <x:c r="U30" s="8" t="n">
        <x:f>(C30-R30)^2</x:f>
        <x:v>0.044207758072241934</x:v>
      </x:c>
    </x:row>
    <x:row r="31" ht="28" customHeight="1">
      <x:c r="A31" s="4" t="str">
        <x:v>UCSD-PTGBM-0022_01</x:v>
      </x:c>
      <x:c r="B31" s="4" t="str">
        <x:v>UCSD-PTGBM-0022</x:v>
      </x:c>
      <x:c r="C31" s="6" t="n">
        <x:v>1</x:v>
      </x:c>
      <x:c r="D31" s="4" t="str">
        <x:v>derived_from_published_243_equals_192_plus_51_partition</x:v>
      </x:c>
      <x:c r="E31" s="4"/>
      <x:c r="F31" s="6" t="n">
        <x:v>70</x:v>
      </x:c>
      <x:c r="G31" s="4" t="str">
        <x:v>Male</x:v>
      </x:c>
      <x:c r="H31" s="6" t="n">
        <x:v>1</x:v>
      </x:c>
      <x:c r="I31" s="4" t="str">
        <x:v>Glioblastoma</x:v>
      </x:c>
      <x:c r="J31" s="6" t="n">
        <x:v>0</x:v>
      </x:c>
      <x:c r="K31" s="6" t="n">
        <x:v>31</x:v>
      </x:c>
      <x:c r="L31" s="6"/>
      <x:c r="M31" s="6" t="n">
        <x:v>1</x:v>
      </x:c>
      <x:c r="N31" s="6" t="n">
        <x:v>1</x:v>
      </x:c>
      <x:c r="O31" s="4" t="str">
        <x:v>source_HGG_collection; complete_age_sex; broad_partition_label</x:v>
      </x:c>
      <x:c r="P31" s="6" t="n">
        <x:v>1</x:v>
      </x:c>
      <x:c r="Q31" s="8" t="n">
        <x:v>0.8692590283</x:v>
      </x:c>
      <x:c r="R31" s="8" t="n">
        <x:v>0.7897435897</x:v>
      </x:c>
      <x:c r="S31" s="6" t="n">
        <x:v>1</x:v>
      </x:c>
      <x:c r="T31" s="8" t="n">
        <x:f>(C31-Q31)^2</x:f>
        <x:v>0.017093201681060197</x:v>
      </x:c>
      <x:c r="U31" s="8" t="n">
        <x:f>(C31-R31)^2</x:f>
        <x:v>0.044207758072241934</x:v>
      </x:c>
    </x:row>
    <x:row r="32" ht="28" customHeight="1">
      <x:c r="A32" s="4" t="str">
        <x:v>UCSD-PTGBM-0022_02</x:v>
      </x:c>
      <x:c r="B32" s="4" t="str">
        <x:v>UCSD-PTGBM-0022</x:v>
      </x:c>
      <x:c r="C32" s="6" t="n">
        <x:v>1</x:v>
      </x:c>
      <x:c r="D32" s="4" t="str">
        <x:v>derived_from_published_243_equals_192_plus_51_partition</x:v>
      </x:c>
      <x:c r="E32" s="4"/>
      <x:c r="F32" s="6" t="n">
        <x:v>70</x:v>
      </x:c>
      <x:c r="G32" s="4" t="str">
        <x:v>Male</x:v>
      </x:c>
      <x:c r="H32" s="6" t="n">
        <x:v>1</x:v>
      </x:c>
      <x:c r="I32" s="4" t="str">
        <x:v>Glioblastoma</x:v>
      </x:c>
      <x:c r="J32" s="6" t="n">
        <x:v>0</x:v>
      </x:c>
      <x:c r="K32" s="6" t="n">
        <x:v>32</x:v>
      </x:c>
      <x:c r="L32" s="6"/>
      <x:c r="M32" s="6" t="n">
        <x:v>1</x:v>
      </x:c>
      <x:c r="N32" s="6" t="n">
        <x:v>1</x:v>
      </x:c>
      <x:c r="O32" s="4" t="str">
        <x:v>source_HGG_collection; complete_age_sex; broad_partition_label</x:v>
      </x:c>
      <x:c r="P32" s="6" t="n">
        <x:v>1</x:v>
      </x:c>
      <x:c r="Q32" s="8" t="n">
        <x:v>0.8692590283</x:v>
      </x:c>
      <x:c r="R32" s="8" t="n">
        <x:v>0.7897435897</x:v>
      </x:c>
      <x:c r="S32" s="6" t="n">
        <x:v>1</x:v>
      </x:c>
      <x:c r="T32" s="8" t="n">
        <x:f>(C32-Q32)^2</x:f>
        <x:v>0.017093201681060197</x:v>
      </x:c>
      <x:c r="U32" s="8" t="n">
        <x:f>(C32-R32)^2</x:f>
        <x:v>0.044207758072241934</x:v>
      </x:c>
    </x:row>
    <x:row r="33" ht="28" customHeight="1">
      <x:c r="A33" s="4" t="str">
        <x:v>UCSD-PTGBM-0023_01</x:v>
      </x:c>
      <x:c r="B33" s="4" t="str">
        <x:v>UCSD-PTGBM-0023</x:v>
      </x:c>
      <x:c r="C33" s="6" t="n">
        <x:v>1</x:v>
      </x:c>
      <x:c r="D33" s="4" t="str">
        <x:v>derived_from_published_243_equals_192_plus_51_partition</x:v>
      </x:c>
      <x:c r="E33" s="4"/>
      <x:c r="F33" s="6" t="n">
        <x:v>35</x:v>
      </x:c>
      <x:c r="G33" s="4" t="str">
        <x:v>Male</x:v>
      </x:c>
      <x:c r="H33" s="6" t="n">
        <x:v>1</x:v>
      </x:c>
      <x:c r="I33" s="4" t="str">
        <x:v>Glioblastoma</x:v>
      </x:c>
      <x:c r="J33" s="6" t="n">
        <x:v>0</x:v>
      </x:c>
      <x:c r="K33" s="6" t="n">
        <x:v>33</x:v>
      </x:c>
      <x:c r="L33" s="6"/>
      <x:c r="M33" s="6" t="n">
        <x:v>1</x:v>
      </x:c>
      <x:c r="N33" s="6" t="n">
        <x:v>1</x:v>
      </x:c>
      <x:c r="O33" s="4" t="str">
        <x:v>source_HGG_collection; complete_age_sex; broad_partition_label</x:v>
      </x:c>
      <x:c r="P33" s="6" t="n">
        <x:v>5</x:v>
      </x:c>
      <x:c r="Q33" s="8" t="n">
        <x:v>0.6930934843</x:v>
      </x:c>
      <x:c r="R33" s="8" t="n">
        <x:v>0.7875647668</x:v>
      </x:c>
      <x:c r="S33" s="6" t="n">
        <x:v>1</x:v>
      </x:c>
      <x:c r="T33" s="8" t="n">
        <x:f>(C33-Q33)^2</x:f>
        <x:v>0.09419160937911437</x:v>
      </x:c>
      <x:c r="U33" s="8" t="n">
        <x:f>(C33-R33)^2</x:f>
        <x:v>0.04512872830473839</x:v>
      </x:c>
    </x:row>
    <x:row r="34" ht="28" customHeight="1">
      <x:c r="A34" s="4" t="str">
        <x:v>UCSD-PTGBM-0024_01</x:v>
      </x:c>
      <x:c r="B34" s="4" t="str">
        <x:v>UCSD-PTGBM-0024</x:v>
      </x:c>
      <x:c r="C34" s="6" t="n">
        <x:v>1</x:v>
      </x:c>
      <x:c r="D34" s="4" t="str">
        <x:v>derived_from_published_243_equals_192_plus_51_partition</x:v>
      </x:c>
      <x:c r="E34" s="4"/>
      <x:c r="F34" s="6" t="n">
        <x:v>66</x:v>
      </x:c>
      <x:c r="G34" s="4" t="str">
        <x:v>Male</x:v>
      </x:c>
      <x:c r="H34" s="6" t="n">
        <x:v>1</x:v>
      </x:c>
      <x:c r="I34" s="4" t="str">
        <x:v>Glioblastoma</x:v>
      </x:c>
      <x:c r="J34" s="6" t="n">
        <x:v>0</x:v>
      </x:c>
      <x:c r="K34" s="6" t="n">
        <x:v>34</x:v>
      </x:c>
      <x:c r="L34" s="6"/>
      <x:c r="M34" s="6" t="n">
        <x:v>1</x:v>
      </x:c>
      <x:c r="N34" s="6" t="n">
        <x:v>1</x:v>
      </x:c>
      <x:c r="O34" s="4" t="str">
        <x:v>source_HGG_collection; complete_age_sex; broad_partition_label</x:v>
      </x:c>
      <x:c r="P34" s="6" t="n">
        <x:v>5</x:v>
      </x:c>
      <x:c r="Q34" s="8" t="n">
        <x:v>0.8434881234</x:v>
      </x:c>
      <x:c r="R34" s="8" t="n">
        <x:v>0.7875647668</x:v>
      </x:c>
      <x:c r="S34" s="6" t="n">
        <x:v>1</x:v>
      </x:c>
      <x:c r="T34" s="8" t="n">
        <x:f>(C34-Q34)^2</x:f>
        <x:v>0.024495967516853623</x:v>
      </x:c>
      <x:c r="U34" s="8" t="n">
        <x:f>(C34-R34)^2</x:f>
        <x:v>0.04512872830473839</x:v>
      </x:c>
    </x:row>
    <x:row r="35" ht="28" customHeight="1">
      <x:c r="A35" s="4" t="str">
        <x:v>UCSD-PTGBM-0025_01</x:v>
      </x:c>
      <x:c r="B35" s="4" t="str">
        <x:v>UCSD-PTGBM-0025</x:v>
      </x:c>
      <x:c r="C35" s="6" t="n">
        <x:v>1</x:v>
      </x:c>
      <x:c r="D35" s="4" t="str">
        <x:v>derived_from_published_243_equals_192_plus_51_partition</x:v>
      </x:c>
      <x:c r="E35" s="4"/>
      <x:c r="F35" s="6" t="n">
        <x:v>47</x:v>
      </x:c>
      <x:c r="G35" s="4" t="str">
        <x:v>Male</x:v>
      </x:c>
      <x:c r="H35" s="6" t="n">
        <x:v>1</x:v>
      </x:c>
      <x:c r="I35" s="4" t="str">
        <x:v>Glioblastoma</x:v>
      </x:c>
      <x:c r="J35" s="6" t="n">
        <x:v>0</x:v>
      </x:c>
      <x:c r="K35" s="6" t="n">
        <x:v>35</x:v>
      </x:c>
      <x:c r="L35" s="6"/>
      <x:c r="M35" s="6" t="n">
        <x:v>1</x:v>
      </x:c>
      <x:c r="N35" s="6" t="n">
        <x:v>1</x:v>
      </x:c>
      <x:c r="O35" s="4" t="str">
        <x:v>source_HGG_collection; complete_age_sex; broad_partition_label</x:v>
      </x:c>
      <x:c r="P35" s="6" t="n">
        <x:v>5</x:v>
      </x:c>
      <x:c r="Q35" s="8" t="n">
        <x:v>0.7597511095</x:v>
      </x:c>
      <x:c r="R35" s="8" t="n">
        <x:v>0.7875647668</x:v>
      </x:c>
      <x:c r="S35" s="6" t="n">
        <x:v>1</x:v>
      </x:c>
      <x:c r="T35" s="8" t="n">
        <x:f>(C35-Q35)^2</x:f>
        <x:v>0.05771952938648098</x:v>
      </x:c>
      <x:c r="U35" s="8" t="n">
        <x:f>(C35-R35)^2</x:f>
        <x:v>0.04512872830473839</x:v>
      </x:c>
    </x:row>
    <x:row r="36" ht="28" customHeight="1">
      <x:c r="A36" s="4" t="str">
        <x:v>UCSD-PTGBM-0025_02</x:v>
      </x:c>
      <x:c r="B36" s="4" t="str">
        <x:v>UCSD-PTGBM-0025</x:v>
      </x:c>
      <x:c r="C36" s="6" t="n">
        <x:v>1</x:v>
      </x:c>
      <x:c r="D36" s="4" t="str">
        <x:v>derived_from_published_243_equals_192_plus_51_partition</x:v>
      </x:c>
      <x:c r="E36" s="4"/>
      <x:c r="F36" s="6" t="n">
        <x:v>47</x:v>
      </x:c>
      <x:c r="G36" s="4" t="str">
        <x:v>Male</x:v>
      </x:c>
      <x:c r="H36" s="6" t="n">
        <x:v>1</x:v>
      </x:c>
      <x:c r="I36" s="4" t="str">
        <x:v>Glioblastoma</x:v>
      </x:c>
      <x:c r="J36" s="6" t="n">
        <x:v>0</x:v>
      </x:c>
      <x:c r="K36" s="6" t="n">
        <x:v>36</x:v>
      </x:c>
      <x:c r="L36" s="6"/>
      <x:c r="M36" s="6" t="n">
        <x:v>1</x:v>
      </x:c>
      <x:c r="N36" s="6" t="n">
        <x:v>1</x:v>
      </x:c>
      <x:c r="O36" s="4" t="str">
        <x:v>source_HGG_collection; complete_age_sex; broad_partition_label</x:v>
      </x:c>
      <x:c r="P36" s="6" t="n">
        <x:v>5</x:v>
      </x:c>
      <x:c r="Q36" s="8" t="n">
        <x:v>0.7597511095</x:v>
      </x:c>
      <x:c r="R36" s="8" t="n">
        <x:v>0.7875647668</x:v>
      </x:c>
      <x:c r="S36" s="6" t="n">
        <x:v>1</x:v>
      </x:c>
      <x:c r="T36" s="8" t="n">
        <x:f>(C36-Q36)^2</x:f>
        <x:v>0.05771952938648098</x:v>
      </x:c>
      <x:c r="U36" s="8" t="n">
        <x:f>(C36-R36)^2</x:f>
        <x:v>0.04512872830473839</x:v>
      </x:c>
    </x:row>
    <x:row r="37" ht="28" customHeight="1">
      <x:c r="A37" s="4" t="str">
        <x:v>UCSD-PTGBM-0025_03</x:v>
      </x:c>
      <x:c r="B37" s="4" t="str">
        <x:v>UCSD-PTGBM-0025</x:v>
      </x:c>
      <x:c r="C37" s="6" t="n">
        <x:v>1</x:v>
      </x:c>
      <x:c r="D37" s="4" t="str">
        <x:v>derived_from_published_243_equals_192_plus_51_partition</x:v>
      </x:c>
      <x:c r="E37" s="4"/>
      <x:c r="F37" s="6" t="n">
        <x:v>47</x:v>
      </x:c>
      <x:c r="G37" s="4" t="str">
        <x:v>Male</x:v>
      </x:c>
      <x:c r="H37" s="6" t="n">
        <x:v>1</x:v>
      </x:c>
      <x:c r="I37" s="4" t="str">
        <x:v>Glioblastoma</x:v>
      </x:c>
      <x:c r="J37" s="6" t="n">
        <x:v>0</x:v>
      </x:c>
      <x:c r="K37" s="6" t="n">
        <x:v>37</x:v>
      </x:c>
      <x:c r="L37" s="6"/>
      <x:c r="M37" s="6" t="n">
        <x:v>1</x:v>
      </x:c>
      <x:c r="N37" s="6" t="n">
        <x:v>1</x:v>
      </x:c>
      <x:c r="O37" s="4" t="str">
        <x:v>source_HGG_collection; complete_age_sex; broad_partition_label</x:v>
      </x:c>
      <x:c r="P37" s="6" t="n">
        <x:v>5</x:v>
      </x:c>
      <x:c r="Q37" s="8" t="n">
        <x:v>0.7597511095</x:v>
      </x:c>
      <x:c r="R37" s="8" t="n">
        <x:v>0.7875647668</x:v>
      </x:c>
      <x:c r="S37" s="6" t="n">
        <x:v>1</x:v>
      </x:c>
      <x:c r="T37" s="8" t="n">
        <x:f>(C37-Q37)^2</x:f>
        <x:v>0.05771952938648098</x:v>
      </x:c>
      <x:c r="U37" s="8" t="n">
        <x:f>(C37-R37)^2</x:f>
        <x:v>0.04512872830473839</x:v>
      </x:c>
    </x:row>
    <x:row r="38" ht="28" customHeight="1">
      <x:c r="A38" s="4" t="str">
        <x:v>UCSD-PTGBM-0026_01</x:v>
      </x:c>
      <x:c r="B38" s="4" t="str">
        <x:v>UCSD-PTGBM-0026</x:v>
      </x:c>
      <x:c r="C38" s="6" t="n">
        <x:v>1</x:v>
      </x:c>
      <x:c r="D38" s="4" t="str">
        <x:v>derived_from_published_243_equals_192_plus_51_partition</x:v>
      </x:c>
      <x:c r="E38" s="4"/>
      <x:c r="F38" s="6" t="n">
        <x:v>50</x:v>
      </x:c>
      <x:c r="G38" s="4" t="str">
        <x:v>Male</x:v>
      </x:c>
      <x:c r="H38" s="6" t="n">
        <x:v>1</x:v>
      </x:c>
      <x:c r="I38" s="4" t="str">
        <x:v>Glioblastoma</x:v>
      </x:c>
      <x:c r="J38" s="6" t="n">
        <x:v>0</x:v>
      </x:c>
      <x:c r="K38" s="6" t="n">
        <x:v>38</x:v>
      </x:c>
      <x:c r="L38" s="6"/>
      <x:c r="M38" s="6" t="n">
        <x:v>1</x:v>
      </x:c>
      <x:c r="N38" s="6" t="n">
        <x:v>1</x:v>
      </x:c>
      <x:c r="O38" s="4" t="str">
        <x:v>source_HGG_collection; complete_age_sex; broad_partition_label</x:v>
      </x:c>
      <x:c r="P38" s="6" t="n">
        <x:v>5</x:v>
      </x:c>
      <x:c r="Q38" s="8" t="n">
        <x:v>0.7747778167</x:v>
      </x:c>
      <x:c r="R38" s="8" t="n">
        <x:v>0.7875647668</x:v>
      </x:c>
      <x:c r="S38" s="6" t="n">
        <x:v>1</x:v>
      </x:c>
      <x:c r="T38" s="8" t="n">
        <x:f>(C38-Q38)^2</x:f>
        <x:v>0.050725031850418795</x:v>
      </x:c>
      <x:c r="U38" s="8" t="n">
        <x:f>(C38-R38)^2</x:f>
        <x:v>0.04512872830473839</x:v>
      </x:c>
    </x:row>
    <x:row r="39" ht="28" customHeight="1">
      <x:c r="A39" s="4" t="str">
        <x:v>UCSD-PTGBM-0027_01</x:v>
      </x:c>
      <x:c r="B39" s="4" t="str">
        <x:v>UCSD-PTGBM-0027</x:v>
      </x:c>
      <x:c r="C39" s="6" t="n">
        <x:v>1</x:v>
      </x:c>
      <x:c r="D39" s="4" t="str">
        <x:v>derived_from_published_243_equals_192_plus_51_partition</x:v>
      </x:c>
      <x:c r="E39" s="4"/>
      <x:c r="F39" s="6" t="n">
        <x:v>74</x:v>
      </x:c>
      <x:c r="G39" s="4" t="str">
        <x:v>Male</x:v>
      </x:c>
      <x:c r="H39" s="6" t="n">
        <x:v>1</x:v>
      </x:c>
      <x:c r="I39" s="4" t="str">
        <x:v>Glioblastoma</x:v>
      </x:c>
      <x:c r="J39" s="6" t="n">
        <x:v>0</x:v>
      </x:c>
      <x:c r="K39" s="6" t="n">
        <x:v>39</x:v>
      </x:c>
      <x:c r="L39" s="6"/>
      <x:c r="M39" s="6" t="n">
        <x:v>1</x:v>
      </x:c>
      <x:c r="N39" s="6" t="n">
        <x:v>1</x:v>
      </x:c>
      <x:c r="O39" s="4" t="str">
        <x:v>source_HGG_collection; complete_age_sex; broad_partition_label</x:v>
      </x:c>
      <x:c r="P39" s="6" t="n">
        <x:v>1</x:v>
      </x:c>
      <x:c r="Q39" s="8" t="n">
        <x:v>0.8820769184</x:v>
      </x:c>
      <x:c r="R39" s="8" t="n">
        <x:v>0.7897435897</x:v>
      </x:c>
      <x:c r="S39" s="6" t="n">
        <x:v>1</x:v>
      </x:c>
      <x:c r="T39" s="8" t="n">
        <x:f>(C39-Q39)^2</x:f>
        <x:v>0.013905853174040254</x:v>
      </x:c>
      <x:c r="U39" s="8" t="n">
        <x:f>(C39-R39)^2</x:f>
        <x:v>0.044207758072241934</x:v>
      </x:c>
    </x:row>
    <x:row r="40" ht="28" customHeight="1">
      <x:c r="A40" s="4" t="str">
        <x:v>UCSD-PTGBM-0028_01</x:v>
      </x:c>
      <x:c r="B40" s="4" t="str">
        <x:v>UCSD-PTGBM-0028</x:v>
      </x:c>
      <x:c r="C40" s="6" t="n">
        <x:v>1</x:v>
      </x:c>
      <x:c r="D40" s="4" t="str">
        <x:v>derived_from_published_243_equals_192_plus_51_partition</x:v>
      </x:c>
      <x:c r="E40" s="4"/>
      <x:c r="F40" s="6" t="n">
        <x:v>66</x:v>
      </x:c>
      <x:c r="G40" s="4" t="str">
        <x:v>Male</x:v>
      </x:c>
      <x:c r="H40" s="6" t="n">
        <x:v>1</x:v>
      </x:c>
      <x:c r="I40" s="4" t="str">
        <x:v>Glioblastoma</x:v>
      </x:c>
      <x:c r="J40" s="6" t="n">
        <x:v>0</x:v>
      </x:c>
      <x:c r="K40" s="6" t="n">
        <x:v>40</x:v>
      </x:c>
      <x:c r="L40" s="6"/>
      <x:c r="M40" s="6" t="n">
        <x:v>1</x:v>
      </x:c>
      <x:c r="N40" s="6" t="n">
        <x:v>1</x:v>
      </x:c>
      <x:c r="O40" s="4" t="str">
        <x:v>source_HGG_collection; complete_age_sex; broad_partition_label</x:v>
      </x:c>
      <x:c r="P40" s="6" t="n">
        <x:v>4</x:v>
      </x:c>
      <x:c r="Q40" s="8" t="n">
        <x:v>0.8625368506</x:v>
      </x:c>
      <x:c r="R40" s="8" t="n">
        <x:v>0.793814433</x:v>
      </x:c>
      <x:c r="S40" s="6" t="n">
        <x:v>1</x:v>
      </x:c>
      <x:c r="T40" s="8" t="n">
        <x:f>(C40-Q40)^2</x:f>
        <x:v>0.01889611744296673</x:v>
      </x:c>
      <x:c r="U40" s="8" t="n">
        <x:f>(C40-R40)^2</x:f>
        <x:v>0.04251248803911149</x:v>
      </x:c>
    </x:row>
    <x:row r="41" ht="28" customHeight="1">
      <x:c r="A41" s="4" t="str">
        <x:v>UCSD-PTGBM-0029_01</x:v>
      </x:c>
      <x:c r="B41" s="4" t="str">
        <x:v>UCSD-PTGBM-0029</x:v>
      </x:c>
      <x:c r="C41" s="6" t="n">
        <x:v>1</x:v>
      </x:c>
      <x:c r="D41" s="4" t="str">
        <x:v>derived_from_published_243_equals_192_plus_51_partition</x:v>
      </x:c>
      <x:c r="E41" s="4"/>
      <x:c r="F41" s="6" t="n">
        <x:v>65</x:v>
      </x:c>
      <x:c r="G41" s="4" t="str">
        <x:v>Female</x:v>
      </x:c>
      <x:c r="H41" s="6" t="n">
        <x:v>0</x:v>
      </x:c>
      <x:c r="I41" s="4" t="str">
        <x:v>Glioblastoma</x:v>
      </x:c>
      <x:c r="J41" s="6" t="n">
        <x:v>0</x:v>
      </x:c>
      <x:c r="K41" s="6" t="n">
        <x:v>41</x:v>
      </x:c>
      <x:c r="L41" s="6"/>
      <x:c r="M41" s="6" t="n">
        <x:v>1</x:v>
      </x:c>
      <x:c r="N41" s="6" t="n">
        <x:v>1</x:v>
      </x:c>
      <x:c r="O41" s="4" t="str">
        <x:v>source_HGG_collection; complete_age_sex; broad_partition_label</x:v>
      </x:c>
      <x:c r="P41" s="6" t="n">
        <x:v>5</x:v>
      </x:c>
      <x:c r="Q41" s="8" t="n">
        <x:v>0.8277045567</x:v>
      </x:c>
      <x:c r="R41" s="8" t="n">
        <x:v>0.7875647668</x:v>
      </x:c>
      <x:c r="S41" s="6" t="n">
        <x:v>1</x:v>
      </x:c>
      <x:c r="T41" s="8" t="n">
        <x:f>(C41-Q41)^2</x:f>
        <x:v>0.02968571978194352</x:v>
      </x:c>
      <x:c r="U41" s="8" t="n">
        <x:f>(C41-R41)^2</x:f>
        <x:v>0.04512872830473839</x:v>
      </x:c>
    </x:row>
    <x:row r="42" ht="28" customHeight="1">
      <x:c r="A42" s="4" t="str">
        <x:v>UCSD-PTGBM-0030_01</x:v>
      </x:c>
      <x:c r="B42" s="4" t="str">
        <x:v>UCSD-PTGBM-0030</x:v>
      </x:c>
      <x:c r="C42" s="6" t="n">
        <x:v>1</x:v>
      </x:c>
      <x:c r="D42" s="4" t="str">
        <x:v>derived_from_published_243_equals_192_plus_51_partition</x:v>
      </x:c>
      <x:c r="E42" s="4"/>
      <x:c r="F42" s="6" t="n">
        <x:v>73</x:v>
      </x:c>
      <x:c r="G42" s="4" t="str">
        <x:v>Male</x:v>
      </x:c>
      <x:c r="H42" s="6" t="n">
        <x:v>1</x:v>
      </x:c>
      <x:c r="I42" s="4" t="str">
        <x:v>Glioblastoma</x:v>
      </x:c>
      <x:c r="J42" s="6" t="n">
        <x:v>0</x:v>
      </x:c>
      <x:c r="K42" s="6" t="n">
        <x:v>42</x:v>
      </x:c>
      <x:c r="L42" s="6"/>
      <x:c r="M42" s="6" t="n">
        <x:v>1</x:v>
      </x:c>
      <x:c r="N42" s="6" t="n">
        <x:v>1</x:v>
      </x:c>
      <x:c r="O42" s="4" t="str">
        <x:v>source_HGG_collection; complete_age_sex; broad_partition_label</x:v>
      </x:c>
      <x:c r="P42" s="6" t="n">
        <x:v>4</x:v>
      </x:c>
      <x:c r="Q42" s="8" t="n">
        <x:v>0.8838509515</x:v>
      </x:c>
      <x:c r="R42" s="8" t="n">
        <x:v>0.793814433</x:v>
      </x:c>
      <x:c r="S42" s="6" t="n">
        <x:v>1</x:v>
      </x:c>
      <x:c r="T42" s="8" t="n">
        <x:f>(C42-Q42)^2</x:f>
        <x:v>0.013490601467455343</x:v>
      </x:c>
      <x:c r="U42" s="8" t="n">
        <x:f>(C42-R42)^2</x:f>
        <x:v>0.04251248803911149</x:v>
      </x:c>
    </x:row>
    <x:row r="43" ht="28" customHeight="1">
      <x:c r="A43" s="4" t="str">
        <x:v>UCSD-PTGBM-0031_01</x:v>
      </x:c>
      <x:c r="B43" s="4" t="str">
        <x:v>UCSD-PTGBM-0031</x:v>
      </x:c>
      <x:c r="C43" s="6" t="n">
        <x:v>1</x:v>
      </x:c>
      <x:c r="D43" s="4" t="str">
        <x:v>derived_from_published_243_equals_192_plus_51_partition</x:v>
      </x:c>
      <x:c r="E43" s="4"/>
      <x:c r="F43" s="6" t="n">
        <x:v>63</x:v>
      </x:c>
      <x:c r="G43" s="4" t="str">
        <x:v>Male</x:v>
      </x:c>
      <x:c r="H43" s="6" t="n">
        <x:v>1</x:v>
      </x:c>
      <x:c r="I43" s="4" t="str">
        <x:v>Glioblastoma</x:v>
      </x:c>
      <x:c r="J43" s="6" t="n">
        <x:v>0</x:v>
      </x:c>
      <x:c r="K43" s="6" t="n">
        <x:v>43</x:v>
      </x:c>
      <x:c r="L43" s="6"/>
      <x:c r="M43" s="6" t="n">
        <x:v>1</x:v>
      </x:c>
      <x:c r="N43" s="6" t="n">
        <x:v>1</x:v>
      </x:c>
      <x:c r="O43" s="4" t="str">
        <x:v>source_HGG_collection; complete_age_sex; broad_partition_label</x:v>
      </x:c>
      <x:c r="P43" s="6" t="n">
        <x:v>1</x:v>
      </x:c>
      <x:c r="Q43" s="8" t="n">
        <x:v>0.843991485</x:v>
      </x:c>
      <x:c r="R43" s="8" t="n">
        <x:v>0.7897435897</x:v>
      </x:c>
      <x:c r="S43" s="6" t="n">
        <x:v>1</x:v>
      </x:c>
      <x:c r="T43" s="8" t="n">
        <x:f>(C43-Q43)^2</x:f>
        <x:v>0.02433865675250523</x:v>
      </x:c>
      <x:c r="U43" s="8" t="n">
        <x:f>(C43-R43)^2</x:f>
        <x:v>0.044207758072241934</x:v>
      </x:c>
    </x:row>
    <x:row r="44" ht="28" customHeight="1">
      <x:c r="A44" s="4" t="str">
        <x:v>UCSD-PTGBM-0032_01</x:v>
      </x:c>
      <x:c r="B44" s="4" t="str">
        <x:v>UCSD-PTGBM-0032</x:v>
      </x:c>
      <x:c r="C44" s="6" t="n">
        <x:v>1</x:v>
      </x:c>
      <x:c r="D44" s="4" t="str">
        <x:v>derived_from_published_243_equals_192_plus_51_partition</x:v>
      </x:c>
      <x:c r="E44" s="4"/>
      <x:c r="F44" s="6" t="n">
        <x:v>72</x:v>
      </x:c>
      <x:c r="G44" s="4" t="str">
        <x:v>Female</x:v>
      </x:c>
      <x:c r="H44" s="6" t="n">
        <x:v>0</x:v>
      </x:c>
      <x:c r="I44" s="4" t="str">
        <x:v>Glioblastoma</x:v>
      </x:c>
      <x:c r="J44" s="6" t="n">
        <x:v>0</x:v>
      </x:c>
      <x:c r="K44" s="6" t="n">
        <x:v>44</x:v>
      </x:c>
      <x:c r="L44" s="6"/>
      <x:c r="M44" s="6" t="n">
        <x:v>1</x:v>
      </x:c>
      <x:c r="N44" s="6" t="n">
        <x:v>1</x:v>
      </x:c>
      <x:c r="O44" s="4" t="str">
        <x:v>source_HGG_collection; complete_age_sex; broad_partition_label</x:v>
      </x:c>
      <x:c r="P44" s="6" t="n">
        <x:v>2</x:v>
      </x:c>
      <x:c r="Q44" s="8" t="n">
        <x:v>0.7913648438</x:v>
      </x:c>
      <x:c r="R44" s="8" t="n">
        <x:v>0.7897435897</x:v>
      </x:c>
      <x:c r="S44" s="6" t="n">
        <x:v>1</x:v>
      </x:c>
      <x:c r="T44" s="8" t="n">
        <x:f>(C44-Q44)^2</x:f>
        <x:v>0.04352862840259838</x:v>
      </x:c>
      <x:c r="U44" s="8" t="n">
        <x:f>(C44-R44)^2</x:f>
        <x:v>0.044207758072241934</x:v>
      </x:c>
    </x:row>
    <x:row r="45" ht="28" customHeight="1">
      <x:c r="A45" s="4" t="str">
        <x:v>UCSD-PTGBM-0032_02</x:v>
      </x:c>
      <x:c r="B45" s="4" t="str">
        <x:v>UCSD-PTGBM-0032</x:v>
      </x:c>
      <x:c r="C45" s="6" t="n">
        <x:v>1</x:v>
      </x:c>
      <x:c r="D45" s="4" t="str">
        <x:v>derived_from_published_243_equals_192_plus_51_partition</x:v>
      </x:c>
      <x:c r="E45" s="4"/>
      <x:c r="F45" s="6" t="n">
        <x:v>72</x:v>
      </x:c>
      <x:c r="G45" s="4" t="str">
        <x:v>Female</x:v>
      </x:c>
      <x:c r="H45" s="6" t="n">
        <x:v>0</x:v>
      </x:c>
      <x:c r="I45" s="4" t="str">
        <x:v>Glioblastoma</x:v>
      </x:c>
      <x:c r="J45" s="6" t="n">
        <x:v>0</x:v>
      </x:c>
      <x:c r="K45" s="6" t="n">
        <x:v>45</x:v>
      </x:c>
      <x:c r="L45" s="6"/>
      <x:c r="M45" s="6" t="n">
        <x:v>1</x:v>
      </x:c>
      <x:c r="N45" s="6" t="n">
        <x:v>1</x:v>
      </x:c>
      <x:c r="O45" s="4" t="str">
        <x:v>source_HGG_collection; complete_age_sex; broad_partition_label</x:v>
      </x:c>
      <x:c r="P45" s="6" t="n">
        <x:v>2</x:v>
      </x:c>
      <x:c r="Q45" s="8" t="n">
        <x:v>0.7913648438</x:v>
      </x:c>
      <x:c r="R45" s="8" t="n">
        <x:v>0.7897435897</x:v>
      </x:c>
      <x:c r="S45" s="6" t="n">
        <x:v>1</x:v>
      </x:c>
      <x:c r="T45" s="8" t="n">
        <x:f>(C45-Q45)^2</x:f>
        <x:v>0.04352862840259838</x:v>
      </x:c>
      <x:c r="U45" s="8" t="n">
        <x:f>(C45-R45)^2</x:f>
        <x:v>0.044207758072241934</x:v>
      </x:c>
    </x:row>
    <x:row r="46" ht="28" customHeight="1">
      <x:c r="A46" s="4" t="str">
        <x:v>UCSD-PTGBM-0032_03</x:v>
      </x:c>
      <x:c r="B46" s="4" t="str">
        <x:v>UCSD-PTGBM-0032</x:v>
      </x:c>
      <x:c r="C46" s="6" t="n">
        <x:v>1</x:v>
      </x:c>
      <x:c r="D46" s="4" t="str">
        <x:v>derived_from_published_243_equals_192_plus_51_partition</x:v>
      </x:c>
      <x:c r="E46" s="4"/>
      <x:c r="F46" s="6" t="n">
        <x:v>72</x:v>
      </x:c>
      <x:c r="G46" s="4" t="str">
        <x:v>Female</x:v>
      </x:c>
      <x:c r="H46" s="6" t="n">
        <x:v>0</x:v>
      </x:c>
      <x:c r="I46" s="4" t="str">
        <x:v>Glioblastoma</x:v>
      </x:c>
      <x:c r="J46" s="6" t="n">
        <x:v>0</x:v>
      </x:c>
      <x:c r="K46" s="6" t="n">
        <x:v>46</x:v>
      </x:c>
      <x:c r="L46" s="6"/>
      <x:c r="M46" s="6" t="n">
        <x:v>1</x:v>
      </x:c>
      <x:c r="N46" s="6" t="n">
        <x:v>1</x:v>
      </x:c>
      <x:c r="O46" s="4" t="str">
        <x:v>source_HGG_collection; complete_age_sex; broad_partition_label</x:v>
      </x:c>
      <x:c r="P46" s="6" t="n">
        <x:v>2</x:v>
      </x:c>
      <x:c r="Q46" s="8" t="n">
        <x:v>0.7913648438</x:v>
      </x:c>
      <x:c r="R46" s="8" t="n">
        <x:v>0.7897435897</x:v>
      </x:c>
      <x:c r="S46" s="6" t="n">
        <x:v>1</x:v>
      </x:c>
      <x:c r="T46" s="8" t="n">
        <x:f>(C46-Q46)^2</x:f>
        <x:v>0.04352862840259838</x:v>
      </x:c>
      <x:c r="U46" s="8" t="n">
        <x:f>(C46-R46)^2</x:f>
        <x:v>0.044207758072241934</x:v>
      </x:c>
    </x:row>
    <x:row r="47" ht="28" customHeight="1">
      <x:c r="A47" s="4" t="str">
        <x:v>UCSD-PTGBM-0032_04</x:v>
      </x:c>
      <x:c r="B47" s="4" t="str">
        <x:v>UCSD-PTGBM-0032</x:v>
      </x:c>
      <x:c r="C47" s="6" t="n">
        <x:v>1</x:v>
      </x:c>
      <x:c r="D47" s="4" t="str">
        <x:v>derived_from_published_243_equals_192_plus_51_partition</x:v>
      </x:c>
      <x:c r="E47" s="4"/>
      <x:c r="F47" s="6" t="n">
        <x:v>72</x:v>
      </x:c>
      <x:c r="G47" s="4" t="str">
        <x:v>Female</x:v>
      </x:c>
      <x:c r="H47" s="6" t="n">
        <x:v>0</x:v>
      </x:c>
      <x:c r="I47" s="4" t="str">
        <x:v>Glioblastoma</x:v>
      </x:c>
      <x:c r="J47" s="6" t="n">
        <x:v>0</x:v>
      </x:c>
      <x:c r="K47" s="6" t="n">
        <x:v>47</x:v>
      </x:c>
      <x:c r="L47" s="6"/>
      <x:c r="M47" s="6" t="n">
        <x:v>1</x:v>
      </x:c>
      <x:c r="N47" s="6" t="n">
        <x:v>1</x:v>
      </x:c>
      <x:c r="O47" s="4" t="str">
        <x:v>source_HGG_collection; complete_age_sex; broad_partition_label</x:v>
      </x:c>
      <x:c r="P47" s="6" t="n">
        <x:v>2</x:v>
      </x:c>
      <x:c r="Q47" s="8" t="n">
        <x:v>0.7913648438</x:v>
      </x:c>
      <x:c r="R47" s="8" t="n">
        <x:v>0.7897435897</x:v>
      </x:c>
      <x:c r="S47" s="6" t="n">
        <x:v>1</x:v>
      </x:c>
      <x:c r="T47" s="8" t="n">
        <x:f>(C47-Q47)^2</x:f>
        <x:v>0.04352862840259838</x:v>
      </x:c>
      <x:c r="U47" s="8" t="n">
        <x:f>(C47-R47)^2</x:f>
        <x:v>0.044207758072241934</x:v>
      </x:c>
    </x:row>
    <x:row r="48" ht="28" customHeight="1">
      <x:c r="A48" s="4" t="str">
        <x:v>UCSD-PTGBM-0033_01</x:v>
      </x:c>
      <x:c r="B48" s="4" t="str">
        <x:v>UCSD-PTGBM-0033</x:v>
      </x:c>
      <x:c r="C48" s="6" t="n">
        <x:v>1</x:v>
      </x:c>
      <x:c r="D48" s="4" t="str">
        <x:v>derived_from_published_243_equals_192_plus_51_partition</x:v>
      </x:c>
      <x:c r="E48" s="4"/>
      <x:c r="F48" s="6" t="n">
        <x:v>69</x:v>
      </x:c>
      <x:c r="G48" s="4" t="str">
        <x:v>Female</x:v>
      </x:c>
      <x:c r="H48" s="6" t="n">
        <x:v>0</x:v>
      </x:c>
      <x:c r="I48" s="4" t="str">
        <x:v>Glioblastoma</x:v>
      </x:c>
      <x:c r="J48" s="6" t="n">
        <x:v>0</x:v>
      </x:c>
      <x:c r="K48" s="6" t="n">
        <x:v>48</x:v>
      </x:c>
      <x:c r="L48" s="6"/>
      <x:c r="M48" s="6" t="n">
        <x:v>1</x:v>
      </x:c>
      <x:c r="N48" s="6" t="n">
        <x:v>1</x:v>
      </x:c>
      <x:c r="O48" s="4" t="str">
        <x:v>source_HGG_collection; complete_age_sex; broad_partition_label</x:v>
      </x:c>
      <x:c r="P48" s="6" t="n">
        <x:v>2</x:v>
      </x:c>
      <x:c r="Q48" s="8" t="n">
        <x:v>0.7805035387</x:v>
      </x:c>
      <x:c r="R48" s="8" t="n">
        <x:v>0.7897435897</x:v>
      </x:c>
      <x:c r="S48" s="6" t="n">
        <x:v>1</x:v>
      </x:c>
      <x:c r="T48" s="8" t="n">
        <x:f>(C48-Q48)^2</x:f>
        <x:v>0.048178696523222396</x:v>
      </x:c>
      <x:c r="U48" s="8" t="n">
        <x:f>(C48-R48)^2</x:f>
        <x:v>0.044207758072241934</x:v>
      </x:c>
    </x:row>
    <x:row r="49" ht="28" customHeight="1">
      <x:c r="A49" s="4" t="str">
        <x:v>UCSD-PTGBM-0033_02</x:v>
      </x:c>
      <x:c r="B49" s="4" t="str">
        <x:v>UCSD-PTGBM-0033</x:v>
      </x:c>
      <x:c r="C49" s="6" t="n">
        <x:v>0</x:v>
      </x:c>
      <x:c r="D49" s="4" t="str">
        <x:v>explicit_negative_case_list</x:v>
      </x:c>
      <x:c r="E49" s="4" t="str">
        <x:v>NS</x:v>
      </x:c>
      <x:c r="F49" s="6" t="n">
        <x:v>69</x:v>
      </x:c>
      <x:c r="G49" s="4" t="str">
        <x:v>Female</x:v>
      </x:c>
      <x:c r="H49" s="6" t="n">
        <x:v>0</x:v>
      </x:c>
      <x:c r="I49" s="4" t="str">
        <x:v>Glioblastoma</x:v>
      </x:c>
      <x:c r="J49" s="6" t="n">
        <x:v>0</x:v>
      </x:c>
      <x:c r="K49" s="6" t="n">
        <x:v>49</x:v>
      </x:c>
      <x:c r="L49" s="6" t="n">
        <x:v>20</x:v>
      </x:c>
      <x:c r="M49" s="6" t="n">
        <x:v>1</x:v>
      </x:c>
      <x:c r="N49" s="6" t="n">
        <x:v>1</x:v>
      </x:c>
      <x:c r="O49" s="4" t="str">
        <x:v>source_HGG_collection; complete_age_sex; broad_partition_label</x:v>
      </x:c>
      <x:c r="P49" s="6" t="n">
        <x:v>2</x:v>
      </x:c>
      <x:c r="Q49" s="8" t="n">
        <x:v>0.7805035387</x:v>
      </x:c>
      <x:c r="R49" s="8" t="n">
        <x:v>0.7897435897</x:v>
      </x:c>
      <x:c r="S49" s="6" t="n">
        <x:v>1</x:v>
      </x:c>
      <x:c r="T49" s="8" t="n">
        <x:f>(C49-Q49)^2</x:f>
        <x:v>0.6091857739232224</x:v>
      </x:c>
      <x:c r="U49" s="8" t="n">
        <x:f>(C49-R49)^2</x:f>
        <x:v>0.623694937472242</x:v>
      </x:c>
    </x:row>
    <x:row r="50" ht="28" customHeight="1">
      <x:c r="A50" s="4" t="str">
        <x:v>UCSD-PTGBM-0033_03</x:v>
      </x:c>
      <x:c r="B50" s="4" t="str">
        <x:v>UCSD-PTGBM-0033</x:v>
      </x:c>
      <x:c r="C50" s="6" t="n">
        <x:v>1</x:v>
      </x:c>
      <x:c r="D50" s="4" t="str">
        <x:v>derived_from_published_243_equals_192_plus_51_partition</x:v>
      </x:c>
      <x:c r="E50" s="4"/>
      <x:c r="F50" s="6" t="n">
        <x:v>69</x:v>
      </x:c>
      <x:c r="G50" s="4" t="str">
        <x:v>Female</x:v>
      </x:c>
      <x:c r="H50" s="6" t="n">
        <x:v>0</x:v>
      </x:c>
      <x:c r="I50" s="4" t="str">
        <x:v>Glioblastoma</x:v>
      </x:c>
      <x:c r="J50" s="6" t="n">
        <x:v>0</x:v>
      </x:c>
      <x:c r="K50" s="6" t="n">
        <x:v>50</x:v>
      </x:c>
      <x:c r="L50" s="6"/>
      <x:c r="M50" s="6" t="n">
        <x:v>1</x:v>
      </x:c>
      <x:c r="N50" s="6" t="n">
        <x:v>1</x:v>
      </x:c>
      <x:c r="O50" s="4" t="str">
        <x:v>source_HGG_collection; complete_age_sex; broad_partition_label</x:v>
      </x:c>
      <x:c r="P50" s="6" t="n">
        <x:v>2</x:v>
      </x:c>
      <x:c r="Q50" s="8" t="n">
        <x:v>0.7805035387</x:v>
      </x:c>
      <x:c r="R50" s="8" t="n">
        <x:v>0.7897435897</x:v>
      </x:c>
      <x:c r="S50" s="6" t="n">
        <x:v>1</x:v>
      </x:c>
      <x:c r="T50" s="8" t="n">
        <x:f>(C50-Q50)^2</x:f>
        <x:v>0.048178696523222396</x:v>
      </x:c>
      <x:c r="U50" s="8" t="n">
        <x:f>(C50-R50)^2</x:f>
        <x:v>0.044207758072241934</x:v>
      </x:c>
    </x:row>
    <x:row r="51" ht="28" customHeight="1">
      <x:c r="A51" s="4" t="str">
        <x:v>UCSD-PTGBM-0034_01</x:v>
      </x:c>
      <x:c r="B51" s="4" t="str">
        <x:v>UCSD-PTGBM-0034</x:v>
      </x:c>
      <x:c r="C51" s="6" t="n">
        <x:v>1</x:v>
      </x:c>
      <x:c r="D51" s="4" t="str">
        <x:v>derived_from_published_243_equals_192_plus_51_partition</x:v>
      </x:c>
      <x:c r="E51" s="4"/>
      <x:c r="F51" s="6" t="n">
        <x:v>59</x:v>
      </x:c>
      <x:c r="G51" s="4" t="str">
        <x:v>Male</x:v>
      </x:c>
      <x:c r="H51" s="6" t="n">
        <x:v>1</x:v>
      </x:c>
      <x:c r="I51" s="4" t="str">
        <x:v>Glioblastoma</x:v>
      </x:c>
      <x:c r="J51" s="6" t="n">
        <x:v>0</x:v>
      </x:c>
      <x:c r="K51" s="6" t="n">
        <x:v>51</x:v>
      </x:c>
      <x:c r="L51" s="6"/>
      <x:c r="M51" s="6" t="n">
        <x:v>1</x:v>
      </x:c>
      <x:c r="N51" s="6" t="n">
        <x:v>1</x:v>
      </x:c>
      <x:c r="O51" s="4" t="str">
        <x:v>source_HGG_collection; complete_age_sex; broad_partition_label</x:v>
      </x:c>
      <x:c r="P51" s="6" t="n">
        <x:v>3</x:v>
      </x:c>
      <x:c r="Q51" s="8" t="n">
        <x:v>0.8392750082</x:v>
      </x:c>
      <x:c r="R51" s="8" t="n">
        <x:v>0.7897435897</x:v>
      </x:c>
      <x:c r="S51" s="6" t="n">
        <x:v>1</x:v>
      </x:c>
      <x:c r="T51" s="8" t="n">
        <x:f>(C51-Q51)^2</x:f>
        <x:v>0.025832522989110065</x:v>
      </x:c>
      <x:c r="U51" s="8" t="n">
        <x:f>(C51-R51)^2</x:f>
        <x:v>0.044207758072241934</x:v>
      </x:c>
    </x:row>
    <x:row r="52" ht="28" customHeight="1">
      <x:c r="A52" s="4" t="str">
        <x:v>UCSD-PTGBM-0034_02</x:v>
      </x:c>
      <x:c r="B52" s="4" t="str">
        <x:v>UCSD-PTGBM-0034</x:v>
      </x:c>
      <x:c r="C52" s="6" t="n">
        <x:v>1</x:v>
      </x:c>
      <x:c r="D52" s="4" t="str">
        <x:v>derived_from_published_243_equals_192_plus_51_partition</x:v>
      </x:c>
      <x:c r="E52" s="4"/>
      <x:c r="F52" s="6" t="n">
        <x:v>59</x:v>
      </x:c>
      <x:c r="G52" s="4" t="str">
        <x:v>Male</x:v>
      </x:c>
      <x:c r="H52" s="6" t="n">
        <x:v>1</x:v>
      </x:c>
      <x:c r="I52" s="4" t="str">
        <x:v>Glioblastoma</x:v>
      </x:c>
      <x:c r="J52" s="6" t="n">
        <x:v>0</x:v>
      </x:c>
      <x:c r="K52" s="6" t="n">
        <x:v>52</x:v>
      </x:c>
      <x:c r="L52" s="6"/>
      <x:c r="M52" s="6" t="n">
        <x:v>1</x:v>
      </x:c>
      <x:c r="N52" s="6" t="n">
        <x:v>1</x:v>
      </x:c>
      <x:c r="O52" s="4" t="str">
        <x:v>source_HGG_collection; complete_age_sex; broad_partition_label</x:v>
      </x:c>
      <x:c r="P52" s="6" t="n">
        <x:v>3</x:v>
      </x:c>
      <x:c r="Q52" s="8" t="n">
        <x:v>0.8392750082</x:v>
      </x:c>
      <x:c r="R52" s="8" t="n">
        <x:v>0.7897435897</x:v>
      </x:c>
      <x:c r="S52" s="6" t="n">
        <x:v>1</x:v>
      </x:c>
      <x:c r="T52" s="8" t="n">
        <x:f>(C52-Q52)^2</x:f>
        <x:v>0.025832522989110065</x:v>
      </x:c>
      <x:c r="U52" s="8" t="n">
        <x:f>(C52-R52)^2</x:f>
        <x:v>0.044207758072241934</x:v>
      </x:c>
    </x:row>
    <x:row r="53" ht="28" customHeight="1">
      <x:c r="A53" s="4" t="str">
        <x:v>UCSD-PTGBM-0035_01</x:v>
      </x:c>
      <x:c r="B53" s="4" t="str">
        <x:v>UCSD-PTGBM-0035</x:v>
      </x:c>
      <x:c r="C53" s="6" t="n">
        <x:v>1</x:v>
      </x:c>
      <x:c r="D53" s="4" t="str">
        <x:v>derived_from_published_243_equals_192_plus_51_partition</x:v>
      </x:c>
      <x:c r="E53" s="4"/>
      <x:c r="F53" s="6" t="n">
        <x:v>36</x:v>
      </x:c>
      <x:c r="G53" s="4" t="str">
        <x:v>Male</x:v>
      </x:c>
      <x:c r="H53" s="6" t="n">
        <x:v>1</x:v>
      </x:c>
      <x:c r="I53" s="4" t="str">
        <x:v>Glioblastoma</x:v>
      </x:c>
      <x:c r="J53" s="6" t="n">
        <x:v>0</x:v>
      </x:c>
      <x:c r="K53" s="6" t="n">
        <x:v>53</x:v>
      </x:c>
      <x:c r="L53" s="6"/>
      <x:c r="M53" s="6" t="n">
        <x:v>1</x:v>
      </x:c>
      <x:c r="N53" s="6" t="n">
        <x:v>1</x:v>
      </x:c>
      <x:c r="O53" s="4" t="str">
        <x:v>source_HGG_collection; complete_age_sex; broad_partition_label</x:v>
      </x:c>
      <x:c r="P53" s="6" t="n">
        <x:v>2</x:v>
      </x:c>
      <x:c r="Q53" s="8" t="n">
        <x:v>0.7476767354</x:v>
      </x:c>
      <x:c r="R53" s="8" t="n">
        <x:v>0.7897435897</x:v>
      </x:c>
      <x:c r="S53" s="6" t="n">
        <x:v>1</x:v>
      </x:c>
      <x:c r="T53" s="8" t="n">
        <x:f>(C53-Q53)^2</x:f>
        <x:v>0.0636670298584016</x:v>
      </x:c>
      <x:c r="U53" s="8" t="n">
        <x:f>(C53-R53)^2</x:f>
        <x:v>0.044207758072241934</x:v>
      </x:c>
    </x:row>
    <x:row r="54" ht="28" customHeight="1">
      <x:c r="A54" s="4" t="str">
        <x:v>UCSD-PTGBM-0036_01</x:v>
      </x:c>
      <x:c r="B54" s="4" t="str">
        <x:v>UCSD-PTGBM-0036</x:v>
      </x:c>
      <x:c r="C54" s="6" t="n">
        <x:v>1</x:v>
      </x:c>
      <x:c r="D54" s="4" t="str">
        <x:v>derived_from_published_243_equals_192_plus_51_partition</x:v>
      </x:c>
      <x:c r="E54" s="4"/>
      <x:c r="F54" s="6" t="n">
        <x:v>66</x:v>
      </x:c>
      <x:c r="G54" s="4" t="str">
        <x:v>Female</x:v>
      </x:c>
      <x:c r="H54" s="6" t="n">
        <x:v>0</x:v>
      </x:c>
      <x:c r="I54" s="4" t="str">
        <x:v>Glioblastoma</x:v>
      </x:c>
      <x:c r="J54" s="6" t="n">
        <x:v>0</x:v>
      </x:c>
      <x:c r="K54" s="6" t="n">
        <x:v>54</x:v>
      </x:c>
      <x:c r="L54" s="6"/>
      <x:c r="M54" s="6" t="n">
        <x:v>1</x:v>
      </x:c>
      <x:c r="N54" s="6" t="n">
        <x:v>1</x:v>
      </x:c>
      <x:c r="O54" s="4" t="str">
        <x:v>source_HGG_collection; complete_age_sex; broad_partition_label</x:v>
      </x:c>
      <x:c r="P54" s="6" t="n">
        <x:v>5</x:v>
      </x:c>
      <x:c r="Q54" s="8" t="n">
        <x:v>0.8316691604</x:v>
      </x:c>
      <x:c r="R54" s="8" t="n">
        <x:v>0.7875647668</x:v>
      </x:c>
      <x:c r="S54" s="6" t="n">
        <x:v>1</x:v>
      </x:c>
      <x:c r="T54" s="8" t="n">
        <x:f>(C54-Q54)^2</x:f>
        <x:v>0.02833527156044091</x:v>
      </x:c>
      <x:c r="U54" s="8" t="n">
        <x:f>(C54-R54)^2</x:f>
        <x:v>0.04512872830473839</x:v>
      </x:c>
    </x:row>
    <x:row r="55" ht="28" customHeight="1">
      <x:c r="A55" s="4" t="str">
        <x:v>UCSD-PTGBM-0036_02</x:v>
      </x:c>
      <x:c r="B55" s="4" t="str">
        <x:v>UCSD-PTGBM-0036</x:v>
      </x:c>
      <x:c r="C55" s="6" t="n">
        <x:v>1</x:v>
      </x:c>
      <x:c r="D55" s="4" t="str">
        <x:v>derived_from_published_243_equals_192_plus_51_partition</x:v>
      </x:c>
      <x:c r="E55" s="4"/>
      <x:c r="F55" s="6" t="n">
        <x:v>66</x:v>
      </x:c>
      <x:c r="G55" s="4" t="str">
        <x:v>Female</x:v>
      </x:c>
      <x:c r="H55" s="6" t="n">
        <x:v>0</x:v>
      </x:c>
      <x:c r="I55" s="4" t="str">
        <x:v>Glioblastoma</x:v>
      </x:c>
      <x:c r="J55" s="6" t="n">
        <x:v>0</x:v>
      </x:c>
      <x:c r="K55" s="6" t="n">
        <x:v>55</x:v>
      </x:c>
      <x:c r="L55" s="6"/>
      <x:c r="M55" s="6" t="n">
        <x:v>1</x:v>
      </x:c>
      <x:c r="N55" s="6" t="n">
        <x:v>1</x:v>
      </x:c>
      <x:c r="O55" s="4" t="str">
        <x:v>source_HGG_collection; complete_age_sex; broad_partition_label</x:v>
      </x:c>
      <x:c r="P55" s="6" t="n">
        <x:v>5</x:v>
      </x:c>
      <x:c r="Q55" s="8" t="n">
        <x:v>0.8316691604</x:v>
      </x:c>
      <x:c r="R55" s="8" t="n">
        <x:v>0.7875647668</x:v>
      </x:c>
      <x:c r="S55" s="6" t="n">
        <x:v>1</x:v>
      </x:c>
      <x:c r="T55" s="8" t="n">
        <x:f>(C55-Q55)^2</x:f>
        <x:v>0.02833527156044091</x:v>
      </x:c>
      <x:c r="U55" s="8" t="n">
        <x:f>(C55-R55)^2</x:f>
        <x:v>0.04512872830473839</x:v>
      </x:c>
    </x:row>
    <x:row r="56" ht="28" customHeight="1">
      <x:c r="A56" s="4" t="str">
        <x:v>UCSD-PTGBM-0037_01</x:v>
      </x:c>
      <x:c r="B56" s="4" t="str">
        <x:v>UCSD-PTGBM-0037</x:v>
      </x:c>
      <x:c r="C56" s="6" t="n">
        <x:v>1</x:v>
      </x:c>
      <x:c r="D56" s="4" t="str">
        <x:v>derived_from_published_243_equals_192_plus_51_partition</x:v>
      </x:c>
      <x:c r="E56" s="4"/>
      <x:c r="F56" s="6" t="n">
        <x:v>44</x:v>
      </x:c>
      <x:c r="G56" s="4" t="str">
        <x:v>Male</x:v>
      </x:c>
      <x:c r="H56" s="6" t="n">
        <x:v>1</x:v>
      </x:c>
      <x:c r="I56" s="4" t="str">
        <x:v>Glioblastoma</x:v>
      </x:c>
      <x:c r="J56" s="6" t="n">
        <x:v>0</x:v>
      </x:c>
      <x:c r="K56" s="6" t="n">
        <x:v>56</x:v>
      </x:c>
      <x:c r="L56" s="6"/>
      <x:c r="M56" s="6" t="n">
        <x:v>1</x:v>
      </x:c>
      <x:c r="N56" s="6" t="n">
        <x:v>1</x:v>
      </x:c>
      <x:c r="O56" s="4" t="str">
        <x:v>source_HGG_collection; complete_age_sex; broad_partition_label</x:v>
      </x:c>
      <x:c r="P56" s="6" t="n">
        <x:v>3</x:v>
      </x:c>
      <x:c r="Q56" s="8" t="n">
        <x:v>0.7398500361</x:v>
      </x:c>
      <x:c r="R56" s="8" t="n">
        <x:v>0.7897435897</x:v>
      </x:c>
      <x:c r="S56" s="6" t="n">
        <x:v>1</x:v>
      </x:c>
      <x:c r="T56" s="8" t="n">
        <x:f>(C56-Q56)^2</x:f>
        <x:v>0.06767800371717131</x:v>
      </x:c>
      <x:c r="U56" s="8" t="n">
        <x:f>(C56-R56)^2</x:f>
        <x:v>0.044207758072241934</x:v>
      </x:c>
    </x:row>
    <x:row r="57" ht="28" customHeight="1">
      <x:c r="A57" s="4" t="str">
        <x:v>UCSD-PTGBM-0037_02</x:v>
      </x:c>
      <x:c r="B57" s="4" t="str">
        <x:v>UCSD-PTGBM-0037</x:v>
      </x:c>
      <x:c r="C57" s="6" t="n">
        <x:v>1</x:v>
      </x:c>
      <x:c r="D57" s="4" t="str">
        <x:v>derived_from_published_243_equals_192_plus_51_partition</x:v>
      </x:c>
      <x:c r="E57" s="4"/>
      <x:c r="F57" s="6" t="n">
        <x:v>44</x:v>
      </x:c>
      <x:c r="G57" s="4" t="str">
        <x:v>Male</x:v>
      </x:c>
      <x:c r="H57" s="6" t="n">
        <x:v>1</x:v>
      </x:c>
      <x:c r="I57" s="4" t="str">
        <x:v>Glioblastoma</x:v>
      </x:c>
      <x:c r="J57" s="6" t="n">
        <x:v>0</x:v>
      </x:c>
      <x:c r="K57" s="6" t="n">
        <x:v>57</x:v>
      </x:c>
      <x:c r="L57" s="6"/>
      <x:c r="M57" s="6" t="n">
        <x:v>1</x:v>
      </x:c>
      <x:c r="N57" s="6" t="n">
        <x:v>1</x:v>
      </x:c>
      <x:c r="O57" s="4" t="str">
        <x:v>source_HGG_collection; complete_age_sex; broad_partition_label</x:v>
      </x:c>
      <x:c r="P57" s="6" t="n">
        <x:v>3</x:v>
      </x:c>
      <x:c r="Q57" s="8" t="n">
        <x:v>0.7398500361</x:v>
      </x:c>
      <x:c r="R57" s="8" t="n">
        <x:v>0.7897435897</x:v>
      </x:c>
      <x:c r="S57" s="6" t="n">
        <x:v>1</x:v>
      </x:c>
      <x:c r="T57" s="8" t="n">
        <x:f>(C57-Q57)^2</x:f>
        <x:v>0.06767800371717131</x:v>
      </x:c>
      <x:c r="U57" s="8" t="n">
        <x:f>(C57-R57)^2</x:f>
        <x:v>0.044207758072241934</x:v>
      </x:c>
    </x:row>
    <x:row r="58" ht="28" customHeight="1">
      <x:c r="A58" s="4" t="str">
        <x:v>UCSD-PTGBM-0037_03</x:v>
      </x:c>
      <x:c r="B58" s="4" t="str">
        <x:v>UCSD-PTGBM-0037</x:v>
      </x:c>
      <x:c r="C58" s="6" t="n">
        <x:v>1</x:v>
      </x:c>
      <x:c r="D58" s="4" t="str">
        <x:v>derived_from_published_243_equals_192_plus_51_partition</x:v>
      </x:c>
      <x:c r="E58" s="4"/>
      <x:c r="F58" s="6" t="n">
        <x:v>44</x:v>
      </x:c>
      <x:c r="G58" s="4" t="str">
        <x:v>Male</x:v>
      </x:c>
      <x:c r="H58" s="6" t="n">
        <x:v>1</x:v>
      </x:c>
      <x:c r="I58" s="4" t="str">
        <x:v>Glioblastoma</x:v>
      </x:c>
      <x:c r="J58" s="6" t="n">
        <x:v>0</x:v>
      </x:c>
      <x:c r="K58" s="6" t="n">
        <x:v>58</x:v>
      </x:c>
      <x:c r="L58" s="6"/>
      <x:c r="M58" s="6" t="n">
        <x:v>1</x:v>
      </x:c>
      <x:c r="N58" s="6" t="n">
        <x:v>1</x:v>
      </x:c>
      <x:c r="O58" s="4" t="str">
        <x:v>source_HGG_collection; complete_age_sex; broad_partition_label</x:v>
      </x:c>
      <x:c r="P58" s="6" t="n">
        <x:v>3</x:v>
      </x:c>
      <x:c r="Q58" s="8" t="n">
        <x:v>0.7398500361</x:v>
      </x:c>
      <x:c r="R58" s="8" t="n">
        <x:v>0.7897435897</x:v>
      </x:c>
      <x:c r="S58" s="6" t="n">
        <x:v>1</x:v>
      </x:c>
      <x:c r="T58" s="8" t="n">
        <x:f>(C58-Q58)^2</x:f>
        <x:v>0.06767800371717131</x:v>
      </x:c>
      <x:c r="U58" s="8" t="n">
        <x:f>(C58-R58)^2</x:f>
        <x:v>0.044207758072241934</x:v>
      </x:c>
    </x:row>
    <x:row r="59" ht="28" customHeight="1">
      <x:c r="A59" s="4" t="str">
        <x:v>UCSD-PTGBM-0038_01</x:v>
      </x:c>
      <x:c r="B59" s="4" t="str">
        <x:v>UCSD-PTGBM-0038</x:v>
      </x:c>
      <x:c r="C59" s="6" t="n">
        <x:v>1</x:v>
      </x:c>
      <x:c r="D59" s="4" t="str">
        <x:v>derived_from_published_243_equals_192_plus_51_partition</x:v>
      </x:c>
      <x:c r="E59" s="4"/>
      <x:c r="F59" s="6" t="n">
        <x:v>56</x:v>
      </x:c>
      <x:c r="G59" s="4" t="str">
        <x:v>Female</x:v>
      </x:c>
      <x:c r="H59" s="6" t="n">
        <x:v>0</x:v>
      </x:c>
      <x:c r="I59" s="4" t="str">
        <x:v>Glioblastoma</x:v>
      </x:c>
      <x:c r="J59" s="6" t="n">
        <x:v>0</x:v>
      </x:c>
      <x:c r="K59" s="6" t="n">
        <x:v>59</x:v>
      </x:c>
      <x:c r="L59" s="6"/>
      <x:c r="M59" s="6" t="n">
        <x:v>1</x:v>
      </x:c>
      <x:c r="N59" s="6" t="n">
        <x:v>1</x:v>
      </x:c>
      <x:c r="O59" s="4" t="str">
        <x:v>source_HGG_collection; complete_age_sex; broad_partition_label</x:v>
      </x:c>
      <x:c r="P59" s="6" t="n">
        <x:v>4</x:v>
      </x:c>
      <x:c r="Q59" s="8" t="n">
        <x:v>0.7483350941</x:v>
      </x:c>
      <x:c r="R59" s="8" t="n">
        <x:v>0.793814433</x:v>
      </x:c>
      <x:c r="S59" s="6" t="n">
        <x:v>1</x:v>
      </x:c>
      <x:c r="T59" s="8" t="n">
        <x:f>(C59-Q59)^2</x:f>
        <x:v>0.06333522486165587</x:v>
      </x:c>
      <x:c r="U59" s="8" t="n">
        <x:f>(C59-R59)^2</x:f>
        <x:v>0.04251248803911149</x:v>
      </x:c>
    </x:row>
    <x:row r="60" ht="28" customHeight="1">
      <x:c r="A60" s="4" t="str">
        <x:v>UCSD-PTGBM-0038_02</x:v>
      </x:c>
      <x:c r="B60" s="4" t="str">
        <x:v>UCSD-PTGBM-0038</x:v>
      </x:c>
      <x:c r="C60" s="6" t="n">
        <x:v>1</x:v>
      </x:c>
      <x:c r="D60" s="4" t="str">
        <x:v>derived_from_published_243_equals_192_plus_51_partition</x:v>
      </x:c>
      <x:c r="E60" s="4"/>
      <x:c r="F60" s="6" t="n">
        <x:v>56</x:v>
      </x:c>
      <x:c r="G60" s="4" t="str">
        <x:v>Female</x:v>
      </x:c>
      <x:c r="H60" s="6" t="n">
        <x:v>0</x:v>
      </x:c>
      <x:c r="I60" s="4" t="str">
        <x:v>Glioblastoma</x:v>
      </x:c>
      <x:c r="J60" s="6" t="n">
        <x:v>0</x:v>
      </x:c>
      <x:c r="K60" s="6" t="n">
        <x:v>60</x:v>
      </x:c>
      <x:c r="L60" s="6"/>
      <x:c r="M60" s="6" t="n">
        <x:v>1</x:v>
      </x:c>
      <x:c r="N60" s="6" t="n">
        <x:v>1</x:v>
      </x:c>
      <x:c r="O60" s="4" t="str">
        <x:v>source_HGG_collection; complete_age_sex; broad_partition_label</x:v>
      </x:c>
      <x:c r="P60" s="6" t="n">
        <x:v>4</x:v>
      </x:c>
      <x:c r="Q60" s="8" t="n">
        <x:v>0.7483350941</x:v>
      </x:c>
      <x:c r="R60" s="8" t="n">
        <x:v>0.793814433</x:v>
      </x:c>
      <x:c r="S60" s="6" t="n">
        <x:v>1</x:v>
      </x:c>
      <x:c r="T60" s="8" t="n">
        <x:f>(C60-Q60)^2</x:f>
        <x:v>0.06333522486165587</x:v>
      </x:c>
      <x:c r="U60" s="8" t="n">
        <x:f>(C60-R60)^2</x:f>
        <x:v>0.04251248803911149</x:v>
      </x:c>
    </x:row>
    <x:row r="61" ht="28" customHeight="1">
      <x:c r="A61" s="4" t="str">
        <x:v>UCSD-PTGBM-0038_03</x:v>
      </x:c>
      <x:c r="B61" s="4" t="str">
        <x:v>UCSD-PTGBM-0038</x:v>
      </x:c>
      <x:c r="C61" s="6" t="n">
        <x:v>1</x:v>
      </x:c>
      <x:c r="D61" s="4" t="str">
        <x:v>derived_from_published_243_equals_192_plus_51_partition</x:v>
      </x:c>
      <x:c r="E61" s="4"/>
      <x:c r="F61" s="6" t="n">
        <x:v>56</x:v>
      </x:c>
      <x:c r="G61" s="4" t="str">
        <x:v>Female</x:v>
      </x:c>
      <x:c r="H61" s="6" t="n">
        <x:v>0</x:v>
      </x:c>
      <x:c r="I61" s="4" t="str">
        <x:v>Glioblastoma</x:v>
      </x:c>
      <x:c r="J61" s="6" t="n">
        <x:v>0</x:v>
      </x:c>
      <x:c r="K61" s="6" t="n">
        <x:v>61</x:v>
      </x:c>
      <x:c r="L61" s="6"/>
      <x:c r="M61" s="6" t="n">
        <x:v>1</x:v>
      </x:c>
      <x:c r="N61" s="6" t="n">
        <x:v>1</x:v>
      </x:c>
      <x:c r="O61" s="4" t="str">
        <x:v>source_HGG_collection; complete_age_sex; broad_partition_label</x:v>
      </x:c>
      <x:c r="P61" s="6" t="n">
        <x:v>4</x:v>
      </x:c>
      <x:c r="Q61" s="8" t="n">
        <x:v>0.7483350941</x:v>
      </x:c>
      <x:c r="R61" s="8" t="n">
        <x:v>0.793814433</x:v>
      </x:c>
      <x:c r="S61" s="6" t="n">
        <x:v>1</x:v>
      </x:c>
      <x:c r="T61" s="8" t="n">
        <x:f>(C61-Q61)^2</x:f>
        <x:v>0.06333522486165587</x:v>
      </x:c>
      <x:c r="U61" s="8" t="n">
        <x:f>(C61-R61)^2</x:f>
        <x:v>0.04251248803911149</x:v>
      </x:c>
    </x:row>
    <x:row r="62" ht="28" customHeight="1">
      <x:c r="A62" s="4" t="str">
        <x:v>UCSD-PTGBM-0039_01</x:v>
      </x:c>
      <x:c r="B62" s="4" t="str">
        <x:v>UCSD-PTGBM-0039</x:v>
      </x:c>
      <x:c r="C62" s="6" t="n">
        <x:v>1</x:v>
      </x:c>
      <x:c r="D62" s="4" t="str">
        <x:v>derived_from_published_243_equals_192_plus_51_partition</x:v>
      </x:c>
      <x:c r="E62" s="4"/>
      <x:c r="F62" s="6" t="n">
        <x:v>64</x:v>
      </x:c>
      <x:c r="G62" s="4" t="str">
        <x:v>Female</x:v>
      </x:c>
      <x:c r="H62" s="6" t="n">
        <x:v>0</x:v>
      </x:c>
      <x:c r="I62" s="4" t="str">
        <x:v>Glioblastoma</x:v>
      </x:c>
      <x:c r="J62" s="6" t="n">
        <x:v>0</x:v>
      </x:c>
      <x:c r="K62" s="6" t="n">
        <x:v>62</x:v>
      </x:c>
      <x:c r="L62" s="6"/>
      <x:c r="M62" s="6" t="n">
        <x:v>1</x:v>
      </x:c>
      <x:c r="N62" s="6" t="n">
        <x:v>1</x:v>
      </x:c>
      <x:c r="O62" s="4" t="str">
        <x:v>source_HGG_collection; complete_age_sex; broad_partition_label</x:v>
      </x:c>
      <x:c r="P62" s="6" t="n">
        <x:v>2</x:v>
      </x:c>
      <x:c r="Q62" s="8" t="n">
        <x:v>0.7615122591</x:v>
      </x:c>
      <x:c r="R62" s="8" t="n">
        <x:v>0.7897435897</x:v>
      </x:c>
      <x:c r="S62" s="6" t="n">
        <x:v>1</x:v>
      </x:c>
      <x:c r="T62" s="8" t="n">
        <x:f>(C62-Q62)^2</x:f>
        <x:v>0.056876402559585544</x:v>
      </x:c>
      <x:c r="U62" s="8" t="n">
        <x:f>(C62-R62)^2</x:f>
        <x:v>0.044207758072241934</x:v>
      </x:c>
    </x:row>
    <x:row r="63" ht="28" customHeight="1">
      <x:c r="A63" s="4" t="str">
        <x:v>UCSD-PTGBM-0040_01</x:v>
      </x:c>
      <x:c r="B63" s="4" t="str">
        <x:v>UCSD-PTGBM-0040</x:v>
      </x:c>
      <x:c r="C63" s="6" t="n">
        <x:v>1</x:v>
      </x:c>
      <x:c r="D63" s="4" t="str">
        <x:v>derived_from_published_243_equals_192_plus_51_partition</x:v>
      </x:c>
      <x:c r="E63" s="4"/>
      <x:c r="F63" s="6" t="n">
        <x:v>62</x:v>
      </x:c>
      <x:c r="G63" s="4" t="str">
        <x:v>Female</x:v>
      </x:c>
      <x:c r="H63" s="6" t="n">
        <x:v>0</x:v>
      </x:c>
      <x:c r="I63" s="4" t="str">
        <x:v>Glioblastoma</x:v>
      </x:c>
      <x:c r="J63" s="6" t="n">
        <x:v>0</x:v>
      </x:c>
      <x:c r="K63" s="6" t="n">
        <x:v>63</x:v>
      </x:c>
      <x:c r="L63" s="6"/>
      <x:c r="M63" s="6" t="n">
        <x:v>1</x:v>
      </x:c>
      <x:c r="N63" s="6" t="n">
        <x:v>1</x:v>
      </x:c>
      <x:c r="O63" s="4" t="str">
        <x:v>source_HGG_collection; complete_age_sex; broad_partition_label</x:v>
      </x:c>
      <x:c r="P63" s="6" t="n">
        <x:v>2</x:v>
      </x:c>
      <x:c r="Q63" s="8" t="n">
        <x:v>0.7536068613</x:v>
      </x:c>
      <x:c r="R63" s="8" t="n">
        <x:v>0.7897435897</x:v>
      </x:c>
      <x:c r="S63" s="6" t="n">
        <x:v>1</x:v>
      </x:c>
      <x:c r="T63" s="8" t="n">
        <x:f>(C63-Q63)^2</x:f>
        <x:v>0.06070957879843744</x:v>
      </x:c>
      <x:c r="U63" s="8" t="n">
        <x:f>(C63-R63)^2</x:f>
        <x:v>0.044207758072241934</x:v>
      </x:c>
    </x:row>
    <x:row r="64" ht="28" customHeight="1">
      <x:c r="A64" s="4" t="str">
        <x:v>UCSD-PTGBM-0041_01</x:v>
      </x:c>
      <x:c r="B64" s="4" t="str">
        <x:v>UCSD-PTGBM-0041</x:v>
      </x:c>
      <x:c r="C64" s="6" t="n">
        <x:v>1</x:v>
      </x:c>
      <x:c r="D64" s="4" t="str">
        <x:v>derived_from_published_243_equals_192_plus_51_partition</x:v>
      </x:c>
      <x:c r="E64" s="4"/>
      <x:c r="F64" s="6" t="n">
        <x:v>56</x:v>
      </x:c>
      <x:c r="G64" s="4" t="str">
        <x:v>Female</x:v>
      </x:c>
      <x:c r="H64" s="6" t="n">
        <x:v>0</x:v>
      </x:c>
      <x:c r="I64" s="4" t="str">
        <x:v>Glioblastoma</x:v>
      </x:c>
      <x:c r="J64" s="6" t="n">
        <x:v>0</x:v>
      </x:c>
      <x:c r="K64" s="6" t="n">
        <x:v>64</x:v>
      </x:c>
      <x:c r="L64" s="6"/>
      <x:c r="M64" s="6" t="n">
        <x:v>1</x:v>
      </x:c>
      <x:c r="N64" s="6" t="n">
        <x:v>1</x:v>
      </x:c>
      <x:c r="O64" s="4" t="str">
        <x:v>source_HGG_collection; complete_age_sex; broad_partition_label</x:v>
      </x:c>
      <x:c r="P64" s="6" t="n">
        <x:v>4</x:v>
      </x:c>
      <x:c r="Q64" s="8" t="n">
        <x:v>0.7483350941</x:v>
      </x:c>
      <x:c r="R64" s="8" t="n">
        <x:v>0.793814433</x:v>
      </x:c>
      <x:c r="S64" s="6" t="n">
        <x:v>1</x:v>
      </x:c>
      <x:c r="T64" s="8" t="n">
        <x:f>(C64-Q64)^2</x:f>
        <x:v>0.06333522486165587</x:v>
      </x:c>
      <x:c r="U64" s="8" t="n">
        <x:f>(C64-R64)^2</x:f>
        <x:v>0.04251248803911149</x:v>
      </x:c>
    </x:row>
    <x:row r="65" ht="28" customHeight="1">
      <x:c r="A65" s="4" t="str">
        <x:v>UCSD-PTGBM-0042_01</x:v>
      </x:c>
      <x:c r="B65" s="4" t="str">
        <x:v>UCSD-PTGBM-0042</x:v>
      </x:c>
      <x:c r="C65" s="6" t="n">
        <x:v>1</x:v>
      </x:c>
      <x:c r="D65" s="4" t="str">
        <x:v>derived_from_published_243_equals_192_plus_51_partition</x:v>
      </x:c>
      <x:c r="E65" s="4"/>
      <x:c r="F65" s="6" t="n">
        <x:v>29</x:v>
      </x:c>
      <x:c r="G65" s="4" t="str">
        <x:v>Female</x:v>
      </x:c>
      <x:c r="H65" s="6" t="n">
        <x:v>0</x:v>
      </x:c>
      <x:c r="I65" s="4" t="str">
        <x:v>Astrocytoma, IDH-Mutant, Grade 4</x:v>
      </x:c>
      <x:c r="J65" s="6" t="n">
        <x:v>0</x:v>
      </x:c>
      <x:c r="K65" s="6" t="n">
        <x:v>65</x:v>
      </x:c>
      <x:c r="L65" s="6"/>
      <x:c r="M65" s="6" t="n">
        <x:v>1</x:v>
      </x:c>
      <x:c r="N65" s="6" t="n">
        <x:v>1</x:v>
      </x:c>
      <x:c r="O65" s="4" t="str">
        <x:v>source_HGG_collection; complete_age_sex; broad_partition_label</x:v>
      </x:c>
      <x:c r="P65" s="6" t="n">
        <x:v>3</x:v>
      </x:c>
      <x:c r="Q65" s="8" t="n">
        <x:v>0.4852213561</x:v>
      </x:c>
      <x:c r="R65" s="8" t="n">
        <x:v>0.7897435897</x:v>
      </x:c>
      <x:c r="S65" s="6" t="n">
        <x:v>0</x:v>
      </x:c>
      <x:c r="T65" s="8" t="n">
        <x:f>(C65-Q65)^2</x:f>
        <x:v>0.26499705221552294</x:v>
      </x:c>
      <x:c r="U65" s="8" t="n">
        <x:f>(C65-R65)^2</x:f>
        <x:v>0.044207758072241934</x:v>
      </x:c>
    </x:row>
    <x:row r="66" ht="28" customHeight="1">
      <x:c r="A66" s="4" t="str">
        <x:v>UCSD-PTGBM-0042_02</x:v>
      </x:c>
      <x:c r="B66" s="4" t="str">
        <x:v>UCSD-PTGBM-0042</x:v>
      </x:c>
      <x:c r="C66" s="6" t="n">
        <x:v>1</x:v>
      </x:c>
      <x:c r="D66" s="4" t="str">
        <x:v>derived_from_published_243_equals_192_plus_51_partition</x:v>
      </x:c>
      <x:c r="E66" s="4"/>
      <x:c r="F66" s="6" t="n">
        <x:v>29</x:v>
      </x:c>
      <x:c r="G66" s="4" t="str">
        <x:v>Female</x:v>
      </x:c>
      <x:c r="H66" s="6" t="n">
        <x:v>0</x:v>
      </x:c>
      <x:c r="I66" s="4" t="str">
        <x:v>Astrocytoma, IDH-Mutant, Grade 4</x:v>
      </x:c>
      <x:c r="J66" s="6" t="n">
        <x:v>0</x:v>
      </x:c>
      <x:c r="K66" s="6" t="n">
        <x:v>66</x:v>
      </x:c>
      <x:c r="L66" s="6"/>
      <x:c r="M66" s="6" t="n">
        <x:v>1</x:v>
      </x:c>
      <x:c r="N66" s="6" t="n">
        <x:v>1</x:v>
      </x:c>
      <x:c r="O66" s="4" t="str">
        <x:v>source_HGG_collection; complete_age_sex; broad_partition_label</x:v>
      </x:c>
      <x:c r="P66" s="6" t="n">
        <x:v>3</x:v>
      </x:c>
      <x:c r="Q66" s="8" t="n">
        <x:v>0.4852213561</x:v>
      </x:c>
      <x:c r="R66" s="8" t="n">
        <x:v>0.7897435897</x:v>
      </x:c>
      <x:c r="S66" s="6" t="n">
        <x:v>0</x:v>
      </x:c>
      <x:c r="T66" s="8" t="n">
        <x:f>(C66-Q66)^2</x:f>
        <x:v>0.26499705221552294</x:v>
      </x:c>
      <x:c r="U66" s="8" t="n">
        <x:f>(C66-R66)^2</x:f>
        <x:v>0.044207758072241934</x:v>
      </x:c>
    </x:row>
    <x:row r="67" ht="28" customHeight="1">
      <x:c r="A67" s="4" t="str">
        <x:v>UCSD-PTGBM-0042_03</x:v>
      </x:c>
      <x:c r="B67" s="4" t="str">
        <x:v>UCSD-PTGBM-0042</x:v>
      </x:c>
      <x:c r="C67" s="6" t="n">
        <x:v>1</x:v>
      </x:c>
      <x:c r="D67" s="4" t="str">
        <x:v>derived_from_published_243_equals_192_plus_51_partition</x:v>
      </x:c>
      <x:c r="E67" s="4"/>
      <x:c r="F67" s="6" t="n">
        <x:v>29</x:v>
      </x:c>
      <x:c r="G67" s="4" t="str">
        <x:v>Female</x:v>
      </x:c>
      <x:c r="H67" s="6" t="n">
        <x:v>0</x:v>
      </x:c>
      <x:c r="I67" s="4" t="str">
        <x:v>Astrocytoma, IDH-Mutant, Grade 4</x:v>
      </x:c>
      <x:c r="J67" s="6" t="n">
        <x:v>0</x:v>
      </x:c>
      <x:c r="K67" s="6" t="n">
        <x:v>67</x:v>
      </x:c>
      <x:c r="L67" s="6"/>
      <x:c r="M67" s="6" t="n">
        <x:v>1</x:v>
      </x:c>
      <x:c r="N67" s="6" t="n">
        <x:v>1</x:v>
      </x:c>
      <x:c r="O67" s="4" t="str">
        <x:v>source_HGG_collection; complete_age_sex; broad_partition_label</x:v>
      </x:c>
      <x:c r="P67" s="6" t="n">
        <x:v>3</x:v>
      </x:c>
      <x:c r="Q67" s="8" t="n">
        <x:v>0.4852213561</x:v>
      </x:c>
      <x:c r="R67" s="8" t="n">
        <x:v>0.7897435897</x:v>
      </x:c>
      <x:c r="S67" s="6" t="n">
        <x:v>0</x:v>
      </x:c>
      <x:c r="T67" s="8" t="n">
        <x:f>(C67-Q67)^2</x:f>
        <x:v>0.26499705221552294</x:v>
      </x:c>
      <x:c r="U67" s="8" t="n">
        <x:f>(C67-R67)^2</x:f>
        <x:v>0.044207758072241934</x:v>
      </x:c>
    </x:row>
    <x:row r="68" ht="28" customHeight="1">
      <x:c r="A68" s="4" t="str">
        <x:v>UCSD-PTGBM-0043_01</x:v>
      </x:c>
      <x:c r="B68" s="4" t="str">
        <x:v>UCSD-PTGBM-0043</x:v>
      </x:c>
      <x:c r="C68" s="6" t="n">
        <x:v>0</x:v>
      </x:c>
      <x:c r="D68" s="4" t="str">
        <x:v>explicit_negative_case_list</x:v>
      </x:c>
      <x:c r="E68" s="4" t="str">
        <x:v>NS</x:v>
      </x:c>
      <x:c r="F68" s="6" t="n">
        <x:v>45</x:v>
      </x:c>
      <x:c r="G68" s="4" t="str">
        <x:v>Female</x:v>
      </x:c>
      <x:c r="H68" s="6" t="n">
        <x:v>0</x:v>
      </x:c>
      <x:c r="I68" s="4" t="str">
        <x:v>Astrocytoma, IDH-Mutant, Grade 5</x:v>
      </x:c>
      <x:c r="J68" s="6" t="n">
        <x:v>1</x:v>
      </x:c>
      <x:c r="K68" s="6" t="n">
        <x:v>68</x:v>
      </x:c>
      <x:c r="L68" s="6" t="n">
        <x:v>21</x:v>
      </x:c>
      <x:c r="M68" s="6" t="n">
        <x:v>1</x:v>
      </x:c>
      <x:c r="N68" s="6" t="n">
        <x:v>1</x:v>
      </x:c>
      <x:c r="O68" s="4" t="str">
        <x:v>source_HGG_collection; complete_age_sex; broad_partition_label</x:v>
      </x:c>
      <x:c r="P68" s="6" t="n">
        <x:v>2</x:v>
      </x:c>
      <x:c r="Q68" s="8" t="n">
        <x:v>0.679625682</x:v>
      </x:c>
      <x:c r="R68" s="8" t="n">
        <x:v>0.7897435897</x:v>
      </x:c>
      <x:c r="S68" s="6" t="n">
        <x:v>1</x:v>
      </x:c>
      <x:c r="T68" s="8" t="n">
        <x:f>(C68-Q68)^2</x:f>
        <x:v>0.46189106763396504</x:v>
      </x:c>
      <x:c r="U68" s="8" t="n">
        <x:f>(C68-R68)^2</x:f>
        <x:v>0.623694937472242</x:v>
      </x:c>
    </x:row>
    <x:row r="69" ht="28" customHeight="1">
      <x:c r="A69" s="4" t="str">
        <x:v>UCSD-PTGBM-0044_01</x:v>
      </x:c>
      <x:c r="B69" s="4" t="str">
        <x:v>UCSD-PTGBM-0044</x:v>
      </x:c>
      <x:c r="C69" s="6" t="n">
        <x:v>1</x:v>
      </x:c>
      <x:c r="D69" s="4" t="str">
        <x:v>derived_from_published_243_equals_192_plus_51_partition</x:v>
      </x:c>
      <x:c r="E69" s="4"/>
      <x:c r="F69" s="6" t="n">
        <x:v>54</x:v>
      </x:c>
      <x:c r="G69" s="4" t="str">
        <x:v>Female</x:v>
      </x:c>
      <x:c r="H69" s="6" t="n">
        <x:v>0</x:v>
      </x:c>
      <x:c r="I69" s="4" t="str">
        <x:v>Glioblastoma</x:v>
      </x:c>
      <x:c r="J69" s="6" t="n">
        <x:v>0</x:v>
      </x:c>
      <x:c r="K69" s="6" t="n">
        <x:v>69</x:v>
      </x:c>
      <x:c r="L69" s="6"/>
      <x:c r="M69" s="6" t="n">
        <x:v>1</x:v>
      </x:c>
      <x:c r="N69" s="6" t="n">
        <x:v>1</x:v>
      </x:c>
      <x:c r="O69" s="4" t="str">
        <x:v>source_HGG_collection; complete_age_sex; broad_partition_label</x:v>
      </x:c>
      <x:c r="P69" s="6" t="n">
        <x:v>1</x:v>
      </x:c>
      <x:c r="Q69" s="8" t="n">
        <x:v>0.7730375822</x:v>
      </x:c>
      <x:c r="R69" s="8" t="n">
        <x:v>0.7897435897</x:v>
      </x:c>
      <x:c r="S69" s="6" t="n">
        <x:v>1</x:v>
      </x:c>
      <x:c r="T69" s="8" t="n">
        <x:f>(C69-Q69)^2</x:f>
        <x:v>0.05151193909362178</x:v>
      </x:c>
      <x:c r="U69" s="8" t="n">
        <x:f>(C69-R69)^2</x:f>
        <x:v>0.044207758072241934</x:v>
      </x:c>
    </x:row>
    <x:row r="70" ht="28" customHeight="1">
      <x:c r="A70" s="4" t="str">
        <x:v>UCSD-PTGBM-0045_01</x:v>
      </x:c>
      <x:c r="B70" s="4" t="str">
        <x:v>UCSD-PTGBM-0045</x:v>
      </x:c>
      <x:c r="C70" s="6" t="n">
        <x:v>1</x:v>
      </x:c>
      <x:c r="D70" s="4" t="str">
        <x:v>derived_from_published_243_equals_192_plus_51_partition</x:v>
      </x:c>
      <x:c r="E70" s="4"/>
      <x:c r="F70" s="6" t="n">
        <x:v>62</x:v>
      </x:c>
      <x:c r="G70" s="4" t="str">
        <x:v>Female</x:v>
      </x:c>
      <x:c r="H70" s="6" t="n">
        <x:v>0</x:v>
      </x:c>
      <x:c r="I70" s="4" t="str">
        <x:v>Glioblastoma</x:v>
      </x:c>
      <x:c r="J70" s="6" t="n">
        <x:v>0</x:v>
      </x:c>
      <x:c r="K70" s="6" t="n">
        <x:v>70</x:v>
      </x:c>
      <x:c r="L70" s="6"/>
      <x:c r="M70" s="6" t="n">
        <x:v>1</x:v>
      </x:c>
      <x:c r="N70" s="6" t="n">
        <x:v>1</x:v>
      </x:c>
      <x:c r="O70" s="4" t="str">
        <x:v>source_HGG_collection; complete_age_sex; broad_partition_label</x:v>
      </x:c>
      <x:c r="P70" s="6" t="n">
        <x:v>4</x:v>
      </x:c>
      <x:c r="Q70" s="8" t="n">
        <x:v>0.778179471</x:v>
      </x:c>
      <x:c r="R70" s="8" t="n">
        <x:v>0.793814433</x:v>
      </x:c>
      <x:c r="S70" s="6" t="n">
        <x:v>1</x:v>
      </x:c>
      <x:c r="T70" s="8" t="n">
        <x:f>(C70-Q70)^2</x:f>
        <x:v>0.04920434708583986</x:v>
      </x:c>
      <x:c r="U70" s="8" t="n">
        <x:f>(C70-R70)^2</x:f>
        <x:v>0.04251248803911149</x:v>
      </x:c>
    </x:row>
    <x:row r="71" ht="28" customHeight="1">
      <x:c r="A71" s="4" t="str">
        <x:v>UCSD-PTGBM-0046_01</x:v>
      </x:c>
      <x:c r="B71" s="4" t="str">
        <x:v>UCSD-PTGBM-0046</x:v>
      </x:c>
      <x:c r="C71" s="6" t="n">
        <x:v>1</x:v>
      </x:c>
      <x:c r="D71" s="4" t="str">
        <x:v>derived_from_published_243_equals_192_plus_51_partition</x:v>
      </x:c>
      <x:c r="E71" s="4"/>
      <x:c r="F71" s="6" t="n">
        <x:v>45</x:v>
      </x:c>
      <x:c r="G71" s="4" t="str">
        <x:v>Female</x:v>
      </x:c>
      <x:c r="H71" s="6" t="n">
        <x:v>0</x:v>
      </x:c>
      <x:c r="I71" s="4" t="str">
        <x:v>Astrocytoma, IDH-Mutant, Grade 4</x:v>
      </x:c>
      <x:c r="J71" s="6" t="n">
        <x:v>0</x:v>
      </x:c>
      <x:c r="K71" s="6" t="n">
        <x:v>71</x:v>
      </x:c>
      <x:c r="L71" s="6"/>
      <x:c r="M71" s="6" t="n">
        <x:v>1</x:v>
      </x:c>
      <x:c r="N71" s="6" t="n">
        <x:v>1</x:v>
      </x:c>
      <x:c r="O71" s="4" t="str">
        <x:v>source_HGG_collection; complete_age_sex; broad_partition_label</x:v>
      </x:c>
      <x:c r="P71" s="6" t="n">
        <x:v>3</x:v>
      </x:c>
      <x:c r="Q71" s="8" t="n">
        <x:v>0.6431432139</x:v>
      </x:c>
      <x:c r="R71" s="8" t="n">
        <x:v>0.7897435897</x:v>
      </x:c>
      <x:c r="S71" s="6" t="n">
        <x:v>1</x:v>
      </x:c>
      <x:c r="T71" s="8" t="n">
        <x:f>(C71-Q71)^2</x:f>
        <x:v>0.12734676578562118</x:v>
      </x:c>
      <x:c r="U71" s="8" t="n">
        <x:f>(C71-R71)^2</x:f>
        <x:v>0.044207758072241934</x:v>
      </x:c>
    </x:row>
    <x:row r="72" ht="28" customHeight="1">
      <x:c r="A72" s="4" t="str">
        <x:v>UCSD-PTGBM-0047_01</x:v>
      </x:c>
      <x:c r="B72" s="4" t="str">
        <x:v>UCSD-PTGBM-0047</x:v>
      </x:c>
      <x:c r="C72" s="6" t="n">
        <x:v>1</x:v>
      </x:c>
      <x:c r="D72" s="4" t="str">
        <x:v>derived_from_published_243_equals_192_plus_51_partition</x:v>
      </x:c>
      <x:c r="E72" s="4"/>
      <x:c r="F72" s="6" t="n">
        <x:v>58</x:v>
      </x:c>
      <x:c r="G72" s="4" t="str">
        <x:v>Female</x:v>
      </x:c>
      <x:c r="H72" s="6" t="n">
        <x:v>0</x:v>
      </x:c>
      <x:c r="I72" s="4" t="str">
        <x:v>Glioblastoma</x:v>
      </x:c>
      <x:c r="J72" s="6" t="n">
        <x:v>0</x:v>
      </x:c>
      <x:c r="K72" s="6" t="n">
        <x:v>72</x:v>
      </x:c>
      <x:c r="L72" s="6"/>
      <x:c r="M72" s="6" t="n">
        <x:v>1</x:v>
      </x:c>
      <x:c r="N72" s="6" t="n">
        <x:v>1</x:v>
      </x:c>
      <x:c r="O72" s="4" t="str">
        <x:v>source_HGG_collection; complete_age_sex; broad_partition_label</x:v>
      </x:c>
      <x:c r="P72" s="6" t="n">
        <x:v>1</x:v>
      </x:c>
      <x:c r="Q72" s="8" t="n">
        <x:v>0.793043068</x:v>
      </x:c>
      <x:c r="R72" s="8" t="n">
        <x:v>0.7897435897</x:v>
      </x:c>
      <x:c r="S72" s="6" t="n">
        <x:v>1</x:v>
      </x:c>
      <x:c r="T72" s="8" t="n">
        <x:f>(C72-Q72)^2</x:f>
        <x:v>0.04283117170285262</x:v>
      </x:c>
      <x:c r="U72" s="8" t="n">
        <x:f>(C72-R72)^2</x:f>
        <x:v>0.044207758072241934</x:v>
      </x:c>
    </x:row>
    <x:row r="73" ht="28" customHeight="1">
      <x:c r="A73" s="4" t="str">
        <x:v>UCSD-PTGBM-0047_02</x:v>
      </x:c>
      <x:c r="B73" s="4" t="str">
        <x:v>UCSD-PTGBM-0047</x:v>
      </x:c>
      <x:c r="C73" s="6" t="n">
        <x:v>1</x:v>
      </x:c>
      <x:c r="D73" s="4" t="str">
        <x:v>derived_from_published_243_equals_192_plus_51_partition</x:v>
      </x:c>
      <x:c r="E73" s="4"/>
      <x:c r="F73" s="6" t="n">
        <x:v>58</x:v>
      </x:c>
      <x:c r="G73" s="4" t="str">
        <x:v>Female</x:v>
      </x:c>
      <x:c r="H73" s="6" t="n">
        <x:v>0</x:v>
      </x:c>
      <x:c r="I73" s="4" t="str">
        <x:v>Glioblastoma</x:v>
      </x:c>
      <x:c r="J73" s="6" t="n">
        <x:v>0</x:v>
      </x:c>
      <x:c r="K73" s="6" t="n">
        <x:v>73</x:v>
      </x:c>
      <x:c r="L73" s="6"/>
      <x:c r="M73" s="6" t="n">
        <x:v>1</x:v>
      </x:c>
      <x:c r="N73" s="6" t="n">
        <x:v>1</x:v>
      </x:c>
      <x:c r="O73" s="4" t="str">
        <x:v>source_HGG_collection; complete_age_sex; broad_partition_label</x:v>
      </x:c>
      <x:c r="P73" s="6" t="n">
        <x:v>1</x:v>
      </x:c>
      <x:c r="Q73" s="8" t="n">
        <x:v>0.793043068</x:v>
      </x:c>
      <x:c r="R73" s="8" t="n">
        <x:v>0.7897435897</x:v>
      </x:c>
      <x:c r="S73" s="6" t="n">
        <x:v>1</x:v>
      </x:c>
      <x:c r="T73" s="8" t="n">
        <x:f>(C73-Q73)^2</x:f>
        <x:v>0.04283117170285262</x:v>
      </x:c>
      <x:c r="U73" s="8" t="n">
        <x:f>(C73-R73)^2</x:f>
        <x:v>0.044207758072241934</x:v>
      </x:c>
    </x:row>
    <x:row r="74" ht="28" customHeight="1">
      <x:c r="A74" s="4" t="str">
        <x:v>UCSD-PTGBM-0048_01</x:v>
      </x:c>
      <x:c r="B74" s="4" t="str">
        <x:v>UCSD-PTGBM-0048</x:v>
      </x:c>
      <x:c r="C74" s="6" t="n">
        <x:v>1</x:v>
      </x:c>
      <x:c r="D74" s="4" t="str">
        <x:v>derived_from_published_243_equals_192_plus_51_partition</x:v>
      </x:c>
      <x:c r="E74" s="4"/>
      <x:c r="F74" s="6" t="n">
        <x:v>60</x:v>
      </x:c>
      <x:c r="G74" s="4" t="str">
        <x:v>Female</x:v>
      </x:c>
      <x:c r="H74" s="6" t="n">
        <x:v>0</x:v>
      </x:c>
      <x:c r="I74" s="4" t="str">
        <x:v>Glioblastoma</x:v>
      </x:c>
      <x:c r="J74" s="6" t="n">
        <x:v>0</x:v>
      </x:c>
      <x:c r="K74" s="6" t="n">
        <x:v>74</x:v>
      </x:c>
      <x:c r="L74" s="6"/>
      <x:c r="M74" s="6" t="n">
        <x:v>1</x:v>
      </x:c>
      <x:c r="N74" s="6" t="n">
        <x:v>1</x:v>
      </x:c>
      <x:c r="O74" s="4" t="str">
        <x:v>source_HGG_collection; complete_age_sex; broad_partition_label</x:v>
      </x:c>
      <x:c r="P74" s="6" t="n">
        <x:v>5</x:v>
      </x:c>
      <x:c r="Q74" s="8" t="n">
        <x:v>0.806769856</x:v>
      </x:c>
      <x:c r="R74" s="8" t="n">
        <x:v>0.7875647668</x:v>
      </x:c>
      <x:c r="S74" s="6" t="n">
        <x:v>1</x:v>
      </x:c>
      <x:c r="T74" s="8" t="n">
        <x:f>(C74-Q74)^2</x:f>
        <x:v>0.03733788855026075</x:v>
      </x:c>
      <x:c r="U74" s="8" t="n">
        <x:f>(C74-R74)^2</x:f>
        <x:v>0.04512872830473839</x:v>
      </x:c>
    </x:row>
    <x:row r="75" ht="28" customHeight="1">
      <x:c r="A75" s="4" t="str">
        <x:v>UCSD-PTGBM-0048_02</x:v>
      </x:c>
      <x:c r="B75" s="4" t="str">
        <x:v>UCSD-PTGBM-0048</x:v>
      </x:c>
      <x:c r="C75" s="6" t="n">
        <x:v>1</x:v>
      </x:c>
      <x:c r="D75" s="4" t="str">
        <x:v>derived_from_published_243_equals_192_plus_51_partition</x:v>
      </x:c>
      <x:c r="E75" s="4"/>
      <x:c r="F75" s="6" t="n">
        <x:v>60</x:v>
      </x:c>
      <x:c r="G75" s="4" t="str">
        <x:v>Female</x:v>
      </x:c>
      <x:c r="H75" s="6" t="n">
        <x:v>0</x:v>
      </x:c>
      <x:c r="I75" s="4" t="str">
        <x:v>Glioblastoma</x:v>
      </x:c>
      <x:c r="J75" s="6" t="n">
        <x:v>0</x:v>
      </x:c>
      <x:c r="K75" s="6" t="n">
        <x:v>75</x:v>
      </x:c>
      <x:c r="L75" s="6"/>
      <x:c r="M75" s="6" t="n">
        <x:v>1</x:v>
      </x:c>
      <x:c r="N75" s="6" t="n">
        <x:v>1</x:v>
      </x:c>
      <x:c r="O75" s="4" t="str">
        <x:v>source_HGG_collection; complete_age_sex; broad_partition_label</x:v>
      </x:c>
      <x:c r="P75" s="6" t="n">
        <x:v>5</x:v>
      </x:c>
      <x:c r="Q75" s="8" t="n">
        <x:v>0.806769856</x:v>
      </x:c>
      <x:c r="R75" s="8" t="n">
        <x:v>0.7875647668</x:v>
      </x:c>
      <x:c r="S75" s="6" t="n">
        <x:v>1</x:v>
      </x:c>
      <x:c r="T75" s="8" t="n">
        <x:f>(C75-Q75)^2</x:f>
        <x:v>0.03733788855026075</x:v>
      </x:c>
      <x:c r="U75" s="8" t="n">
        <x:f>(C75-R75)^2</x:f>
        <x:v>0.04512872830473839</x:v>
      </x:c>
    </x:row>
    <x:row r="76" ht="28" customHeight="1">
      <x:c r="A76" s="4" t="str">
        <x:v>UCSD-PTGBM-0048_03</x:v>
      </x:c>
      <x:c r="B76" s="4" t="str">
        <x:v>UCSD-PTGBM-0048</x:v>
      </x:c>
      <x:c r="C76" s="6" t="n">
        <x:v>1</x:v>
      </x:c>
      <x:c r="D76" s="4" t="str">
        <x:v>derived_from_published_243_equals_192_plus_51_partition</x:v>
      </x:c>
      <x:c r="E76" s="4"/>
      <x:c r="F76" s="6" t="n">
        <x:v>60</x:v>
      </x:c>
      <x:c r="G76" s="4" t="str">
        <x:v>Female</x:v>
      </x:c>
      <x:c r="H76" s="6" t="n">
        <x:v>0</x:v>
      </x:c>
      <x:c r="I76" s="4" t="str">
        <x:v>Glioblastoma</x:v>
      </x:c>
      <x:c r="J76" s="6" t="n">
        <x:v>0</x:v>
      </x:c>
      <x:c r="K76" s="6" t="n">
        <x:v>76</x:v>
      </x:c>
      <x:c r="L76" s="6"/>
      <x:c r="M76" s="6" t="n">
        <x:v>1</x:v>
      </x:c>
      <x:c r="N76" s="6" t="n">
        <x:v>1</x:v>
      </x:c>
      <x:c r="O76" s="4" t="str">
        <x:v>source_HGG_collection; complete_age_sex; broad_partition_label</x:v>
      </x:c>
      <x:c r="P76" s="6" t="n">
        <x:v>5</x:v>
      </x:c>
      <x:c r="Q76" s="8" t="n">
        <x:v>0.806769856</x:v>
      </x:c>
      <x:c r="R76" s="8" t="n">
        <x:v>0.7875647668</x:v>
      </x:c>
      <x:c r="S76" s="6" t="n">
        <x:v>1</x:v>
      </x:c>
      <x:c r="T76" s="8" t="n">
        <x:f>(C76-Q76)^2</x:f>
        <x:v>0.03733788855026075</x:v>
      </x:c>
      <x:c r="U76" s="8" t="n">
        <x:f>(C76-R76)^2</x:f>
        <x:v>0.04512872830473839</x:v>
      </x:c>
    </x:row>
    <x:row r="77" ht="28" customHeight="1">
      <x:c r="A77" s="4" t="str">
        <x:v>UCSD-PTGBM-0049_01</x:v>
      </x:c>
      <x:c r="B77" s="4" t="str">
        <x:v>UCSD-PTGBM-0049</x:v>
      </x:c>
      <x:c r="C77" s="6" t="n">
        <x:v>0</x:v>
      </x:c>
      <x:c r="D77" s="4" t="str">
        <x:v>explicit_negative_case_list</x:v>
      </x:c>
      <x:c r="E77" s="4" t="str">
        <x:v>NS</x:v>
      </x:c>
      <x:c r="F77" s="6" t="n">
        <x:v>53</x:v>
      </x:c>
      <x:c r="G77" s="4" t="str">
        <x:v>Male</x:v>
      </x:c>
      <x:c r="H77" s="6" t="n">
        <x:v>1</x:v>
      </x:c>
      <x:c r="I77" s="4" t="str">
        <x:v>Glioblastoma</x:v>
      </x:c>
      <x:c r="J77" s="6" t="n">
        <x:v>0</x:v>
      </x:c>
      <x:c r="K77" s="6" t="n">
        <x:v>77</x:v>
      </x:c>
      <x:c r="L77" s="6" t="n">
        <x:v>22</x:v>
      </x:c>
      <x:c r="M77" s="6" t="n">
        <x:v>1</x:v>
      </x:c>
      <x:c r="N77" s="6" t="n">
        <x:v>1</x:v>
      </x:c>
      <x:c r="O77" s="4" t="str">
        <x:v>source_HGG_collection; complete_age_sex; broad_partition_label</x:v>
      </x:c>
      <x:c r="P77" s="6" t="n">
        <x:v>3</x:v>
      </x:c>
      <x:c r="Q77" s="8" t="n">
        <x:v>0.8037315409</x:v>
      </x:c>
      <x:c r="R77" s="8" t="n">
        <x:v>0.7897435897</x:v>
      </x:c>
      <x:c r="S77" s="6" t="n">
        <x:v>1</x:v>
      </x:c>
      <x:c r="T77" s="8" t="n">
        <x:f>(C77-Q77)^2</x:f>
        <x:v>0.6459843898374884</x:v>
      </x:c>
      <x:c r="U77" s="8" t="n">
        <x:f>(C77-R77)^2</x:f>
        <x:v>0.623694937472242</x:v>
      </x:c>
    </x:row>
    <x:row r="78" ht="28" customHeight="1">
      <x:c r="A78" s="4" t="str">
        <x:v>UCSD-PTGBM-0050_01</x:v>
      </x:c>
      <x:c r="B78" s="4" t="str">
        <x:v>UCSD-PTGBM-0050</x:v>
      </x:c>
      <x:c r="C78" s="6" t="n">
        <x:v>1</x:v>
      </x:c>
      <x:c r="D78" s="4" t="str">
        <x:v>derived_from_published_243_equals_192_plus_51_partition</x:v>
      </x:c>
      <x:c r="E78" s="4"/>
      <x:c r="F78" s="6" t="n">
        <x:v>53</x:v>
      </x:c>
      <x:c r="G78" s="4" t="str">
        <x:v>Male</x:v>
      </x:c>
      <x:c r="H78" s="6" t="n">
        <x:v>1</x:v>
      </x:c>
      <x:c r="I78" s="4" t="str">
        <x:v>Glioblastoma</x:v>
      </x:c>
      <x:c r="J78" s="6" t="n">
        <x:v>0</x:v>
      </x:c>
      <x:c r="K78" s="6" t="n">
        <x:v>78</x:v>
      </x:c>
      <x:c r="L78" s="6"/>
      <x:c r="M78" s="6" t="n">
        <x:v>1</x:v>
      </x:c>
      <x:c r="N78" s="6" t="n">
        <x:v>1</x:v>
      </x:c>
      <x:c r="O78" s="4" t="str">
        <x:v>source_HGG_collection; complete_age_sex; broad_partition_label</x:v>
      </x:c>
      <x:c r="P78" s="6" t="n">
        <x:v>1</x:v>
      </x:c>
      <x:c r="Q78" s="8" t="n">
        <x:v>0.8011779426</x:v>
      </x:c>
      <x:c r="R78" s="8" t="n">
        <x:v>0.7897435897</x:v>
      </x:c>
      <x:c r="S78" s="6" t="n">
        <x:v>1</x:v>
      </x:c>
      <x:c r="T78" s="8" t="n">
        <x:f>(C78-Q78)^2</x:f>
        <x:v>0.039530210508768905</x:v>
      </x:c>
      <x:c r="U78" s="8" t="n">
        <x:f>(C78-R78)^2</x:f>
        <x:v>0.044207758072241934</x:v>
      </x:c>
    </x:row>
    <x:row r="79" ht="28" customHeight="1">
      <x:c r="A79" s="4" t="str">
        <x:v>UCSD-PTGBM-0050_02</x:v>
      </x:c>
      <x:c r="B79" s="4" t="str">
        <x:v>UCSD-PTGBM-0050</x:v>
      </x:c>
      <x:c r="C79" s="6" t="n">
        <x:v>1</x:v>
      </x:c>
      <x:c r="D79" s="4" t="str">
        <x:v>derived_from_published_243_equals_192_plus_51_partition</x:v>
      </x:c>
      <x:c r="E79" s="4"/>
      <x:c r="F79" s="6" t="n">
        <x:v>53</x:v>
      </x:c>
      <x:c r="G79" s="4" t="str">
        <x:v>Male</x:v>
      </x:c>
      <x:c r="H79" s="6" t="n">
        <x:v>1</x:v>
      </x:c>
      <x:c r="I79" s="4" t="str">
        <x:v>Glioblastoma</x:v>
      </x:c>
      <x:c r="J79" s="6" t="n">
        <x:v>0</x:v>
      </x:c>
      <x:c r="K79" s="6" t="n">
        <x:v>79</x:v>
      </x:c>
      <x:c r="L79" s="6"/>
      <x:c r="M79" s="6" t="n">
        <x:v>1</x:v>
      </x:c>
      <x:c r="N79" s="6" t="n">
        <x:v>1</x:v>
      </x:c>
      <x:c r="O79" s="4" t="str">
        <x:v>source_HGG_collection; complete_age_sex; broad_partition_label</x:v>
      </x:c>
      <x:c r="P79" s="6" t="n">
        <x:v>1</x:v>
      </x:c>
      <x:c r="Q79" s="8" t="n">
        <x:v>0.8011779426</x:v>
      </x:c>
      <x:c r="R79" s="8" t="n">
        <x:v>0.7897435897</x:v>
      </x:c>
      <x:c r="S79" s="6" t="n">
        <x:v>1</x:v>
      </x:c>
      <x:c r="T79" s="8" t="n">
        <x:f>(C79-Q79)^2</x:f>
        <x:v>0.039530210508768905</x:v>
      </x:c>
      <x:c r="U79" s="8" t="n">
        <x:f>(C79-R79)^2</x:f>
        <x:v>0.044207758072241934</x:v>
      </x:c>
    </x:row>
    <x:row r="80" ht="28" customHeight="1">
      <x:c r="A80" s="4" t="str">
        <x:v>UCSD-PTGBM-0050_03</x:v>
      </x:c>
      <x:c r="B80" s="4" t="str">
        <x:v>UCSD-PTGBM-0050</x:v>
      </x:c>
      <x:c r="C80" s="6" t="n">
        <x:v>1</x:v>
      </x:c>
      <x:c r="D80" s="4" t="str">
        <x:v>derived_from_published_243_equals_192_plus_51_partition</x:v>
      </x:c>
      <x:c r="E80" s="4"/>
      <x:c r="F80" s="6" t="n">
        <x:v>53</x:v>
      </x:c>
      <x:c r="G80" s="4" t="str">
        <x:v>Male</x:v>
      </x:c>
      <x:c r="H80" s="6" t="n">
        <x:v>1</x:v>
      </x:c>
      <x:c r="I80" s="4" t="str">
        <x:v>Glioblastoma</x:v>
      </x:c>
      <x:c r="J80" s="6" t="n">
        <x:v>0</x:v>
      </x:c>
      <x:c r="K80" s="6" t="n">
        <x:v>80</x:v>
      </x:c>
      <x:c r="L80" s="6"/>
      <x:c r="M80" s="6" t="n">
        <x:v>1</x:v>
      </x:c>
      <x:c r="N80" s="6" t="n">
        <x:v>1</x:v>
      </x:c>
      <x:c r="O80" s="4" t="str">
        <x:v>source_HGG_collection; complete_age_sex; broad_partition_label</x:v>
      </x:c>
      <x:c r="P80" s="6" t="n">
        <x:v>1</x:v>
      </x:c>
      <x:c r="Q80" s="8" t="n">
        <x:v>0.8011779426</x:v>
      </x:c>
      <x:c r="R80" s="8" t="n">
        <x:v>0.7897435897</x:v>
      </x:c>
      <x:c r="S80" s="6" t="n">
        <x:v>1</x:v>
      </x:c>
      <x:c r="T80" s="8" t="n">
        <x:f>(C80-Q80)^2</x:f>
        <x:v>0.039530210508768905</x:v>
      </x:c>
      <x:c r="U80" s="8" t="n">
        <x:f>(C80-R80)^2</x:f>
        <x:v>0.044207758072241934</x:v>
      </x:c>
    </x:row>
    <x:row r="81" ht="28" customHeight="1">
      <x:c r="A81" s="4" t="str">
        <x:v>UCSD-PTGBM-0050_04</x:v>
      </x:c>
      <x:c r="B81" s="4" t="str">
        <x:v>UCSD-PTGBM-0050</x:v>
      </x:c>
      <x:c r="C81" s="6" t="n">
        <x:v>1</x:v>
      </x:c>
      <x:c r="D81" s="4" t="str">
        <x:v>derived_from_published_243_equals_192_plus_51_partition</x:v>
      </x:c>
      <x:c r="E81" s="4"/>
      <x:c r="F81" s="6" t="n">
        <x:v>53</x:v>
      </x:c>
      <x:c r="G81" s="4" t="str">
        <x:v>Male</x:v>
      </x:c>
      <x:c r="H81" s="6" t="n">
        <x:v>1</x:v>
      </x:c>
      <x:c r="I81" s="4" t="str">
        <x:v>Glioblastoma</x:v>
      </x:c>
      <x:c r="J81" s="6" t="n">
        <x:v>0</x:v>
      </x:c>
      <x:c r="K81" s="6" t="n">
        <x:v>81</x:v>
      </x:c>
      <x:c r="L81" s="6"/>
      <x:c r="M81" s="6" t="n">
        <x:v>1</x:v>
      </x:c>
      <x:c r="N81" s="6" t="n">
        <x:v>1</x:v>
      </x:c>
      <x:c r="O81" s="4" t="str">
        <x:v>source_HGG_collection; complete_age_sex; broad_partition_label</x:v>
      </x:c>
      <x:c r="P81" s="6" t="n">
        <x:v>1</x:v>
      </x:c>
      <x:c r="Q81" s="8" t="n">
        <x:v>0.8011779426</x:v>
      </x:c>
      <x:c r="R81" s="8" t="n">
        <x:v>0.7897435897</x:v>
      </x:c>
      <x:c r="S81" s="6" t="n">
        <x:v>1</x:v>
      </x:c>
      <x:c r="T81" s="8" t="n">
        <x:f>(C81-Q81)^2</x:f>
        <x:v>0.039530210508768905</x:v>
      </x:c>
      <x:c r="U81" s="8" t="n">
        <x:f>(C81-R81)^2</x:f>
        <x:v>0.044207758072241934</x:v>
      </x:c>
    </x:row>
    <x:row r="82" ht="28" customHeight="1">
      <x:c r="A82" s="4" t="str">
        <x:v>UCSD-PTGBM-0051_01</x:v>
      </x:c>
      <x:c r="B82" s="4" t="str">
        <x:v>UCSD-PTGBM-0051</x:v>
      </x:c>
      <x:c r="C82" s="6" t="n">
        <x:v>1</x:v>
      </x:c>
      <x:c r="D82" s="4" t="str">
        <x:v>derived_from_published_243_equals_192_plus_51_partition</x:v>
      </x:c>
      <x:c r="E82" s="4"/>
      <x:c r="F82" s="6" t="n">
        <x:v>70</x:v>
      </x:c>
      <x:c r="G82" s="4" t="str">
        <x:v>Male</x:v>
      </x:c>
      <x:c r="H82" s="6" t="n">
        <x:v>1</x:v>
      </x:c>
      <x:c r="I82" s="4" t="str">
        <x:v>Glioblastoma</x:v>
      </x:c>
      <x:c r="J82" s="6" t="n">
        <x:v>0</x:v>
      </x:c>
      <x:c r="K82" s="6" t="n">
        <x:v>82</x:v>
      </x:c>
      <x:c r="L82" s="6"/>
      <x:c r="M82" s="6" t="n">
        <x:v>1</x:v>
      </x:c>
      <x:c r="N82" s="6" t="n">
        <x:v>1</x:v>
      </x:c>
      <x:c r="O82" s="4" t="str">
        <x:v>source_HGG_collection; complete_age_sex; broad_partition_label</x:v>
      </x:c>
      <x:c r="P82" s="6" t="n">
        <x:v>2</x:v>
      </x:c>
      <x:c r="Q82" s="8" t="n">
        <x:v>0.8603308113</x:v>
      </x:c>
      <x:c r="R82" s="8" t="n">
        <x:v>0.7897435897</x:v>
      </x:c>
      <x:c r="S82" s="6" t="n">
        <x:v>1</x:v>
      </x:c>
      <x:c r="T82" s="8" t="n">
        <x:f>(C82-Q82)^2</x:f>
        <x:v>0.019507482272116208</x:v>
      </x:c>
      <x:c r="U82" s="8" t="n">
        <x:f>(C82-R82)^2</x:f>
        <x:v>0.044207758072241934</x:v>
      </x:c>
    </x:row>
    <x:row r="83" ht="28" customHeight="1">
      <x:c r="A83" s="4" t="str">
        <x:v>UCSD-PTGBM-0052_01</x:v>
      </x:c>
      <x:c r="B83" s="4" t="str">
        <x:v>UCSD-PTGBM-0052</x:v>
      </x:c>
      <x:c r="C83" s="6" t="n">
        <x:v>0</x:v>
      </x:c>
      <x:c r="D83" s="4" t="str">
        <x:v>explicit_negative_case_list</x:v>
      </x:c>
      <x:c r="E83" s="4" t="str">
        <x:v>NS</x:v>
      </x:c>
      <x:c r="F83" s="6" t="n">
        <x:v>47</x:v>
      </x:c>
      <x:c r="G83" s="4" t="str">
        <x:v>Male</x:v>
      </x:c>
      <x:c r="H83" s="6" t="n">
        <x:v>1</x:v>
      </x:c>
      <x:c r="I83" s="4" t="str">
        <x:v>Glioblastoma</x:v>
      </x:c>
      <x:c r="J83" s="6" t="n">
        <x:v>0</x:v>
      </x:c>
      <x:c r="K83" s="6" t="n">
        <x:v>83</x:v>
      </x:c>
      <x:c r="L83" s="6" t="n">
        <x:v>23</x:v>
      </x:c>
      <x:c r="M83" s="6" t="n">
        <x:v>1</x:v>
      </x:c>
      <x:c r="N83" s="6" t="n">
        <x:v>1</x:v>
      </x:c>
      <x:c r="O83" s="4" t="str">
        <x:v>source_HGG_collection; complete_age_sex; broad_partition_label</x:v>
      </x:c>
      <x:c r="P83" s="6" t="n">
        <x:v>1</x:v>
      </x:c>
      <x:c r="Q83" s="8" t="n">
        <x:v>0.7715241469</x:v>
      </x:c>
      <x:c r="R83" s="8" t="n">
        <x:v>0.7897435897</x:v>
      </x:c>
      <x:c r="S83" s="6" t="n">
        <x:v>1</x:v>
      </x:c>
      <x:c r="T83" s="8" t="n">
        <x:f>(C83-Q83)^2</x:f>
        <x:v>0.5952495092497728</x:v>
      </x:c>
      <x:c r="U83" s="8" t="n">
        <x:f>(C83-R83)^2</x:f>
        <x:v>0.623694937472242</x:v>
      </x:c>
    </x:row>
    <x:row r="84" ht="28" customHeight="1">
      <x:c r="A84" s="4" t="str">
        <x:v>UCSD-PTGBM-0052_02</x:v>
      </x:c>
      <x:c r="B84" s="4" t="str">
        <x:v>UCSD-PTGBM-0052</x:v>
      </x:c>
      <x:c r="C84" s="6" t="n">
        <x:v>1</x:v>
      </x:c>
      <x:c r="D84" s="4" t="str">
        <x:v>derived_from_published_243_equals_192_plus_51_partition</x:v>
      </x:c>
      <x:c r="E84" s="4"/>
      <x:c r="F84" s="6" t="n">
        <x:v>47</x:v>
      </x:c>
      <x:c r="G84" s="4" t="str">
        <x:v>Male</x:v>
      </x:c>
      <x:c r="H84" s="6" t="n">
        <x:v>1</x:v>
      </x:c>
      <x:c r="I84" s="4" t="str">
        <x:v>Glioblastoma</x:v>
      </x:c>
      <x:c r="J84" s="6" t="n">
        <x:v>0</x:v>
      </x:c>
      <x:c r="K84" s="6" t="n">
        <x:v>84</x:v>
      </x:c>
      <x:c r="L84" s="6"/>
      <x:c r="M84" s="6" t="n">
        <x:v>1</x:v>
      </x:c>
      <x:c r="N84" s="6" t="n">
        <x:v>1</x:v>
      </x:c>
      <x:c r="O84" s="4" t="str">
        <x:v>source_HGG_collection; complete_age_sex; broad_partition_label</x:v>
      </x:c>
      <x:c r="P84" s="6" t="n">
        <x:v>1</x:v>
      </x:c>
      <x:c r="Q84" s="8" t="n">
        <x:v>0.7715241469</x:v>
      </x:c>
      <x:c r="R84" s="8" t="n">
        <x:v>0.7897435897</x:v>
      </x:c>
      <x:c r="S84" s="6" t="n">
        <x:v>1</x:v>
      </x:c>
      <x:c r="T84" s="8" t="n">
        <x:f>(C84-Q84)^2</x:f>
        <x:v>0.05220121544977276</x:v>
      </x:c>
      <x:c r="U84" s="8" t="n">
        <x:f>(C84-R84)^2</x:f>
        <x:v>0.044207758072241934</x:v>
      </x:c>
    </x:row>
    <x:row r="85" ht="28" customHeight="1">
      <x:c r="A85" s="4" t="str">
        <x:v>UCSD-PTGBM-0052_03</x:v>
      </x:c>
      <x:c r="B85" s="4" t="str">
        <x:v>UCSD-PTGBM-0052</x:v>
      </x:c>
      <x:c r="C85" s="6" t="n">
        <x:v>1</x:v>
      </x:c>
      <x:c r="D85" s="4" t="str">
        <x:v>derived_from_published_243_equals_192_plus_51_partition</x:v>
      </x:c>
      <x:c r="E85" s="4"/>
      <x:c r="F85" s="6" t="n">
        <x:v>47</x:v>
      </x:c>
      <x:c r="G85" s="4" t="str">
        <x:v>Male</x:v>
      </x:c>
      <x:c r="H85" s="6" t="n">
        <x:v>1</x:v>
      </x:c>
      <x:c r="I85" s="4" t="str">
        <x:v>Glioblastoma</x:v>
      </x:c>
      <x:c r="J85" s="6" t="n">
        <x:v>0</x:v>
      </x:c>
      <x:c r="K85" s="6" t="n">
        <x:v>85</x:v>
      </x:c>
      <x:c r="L85" s="6"/>
      <x:c r="M85" s="6" t="n">
        <x:v>1</x:v>
      </x:c>
      <x:c r="N85" s="6" t="n">
        <x:v>1</x:v>
      </x:c>
      <x:c r="O85" s="4" t="str">
        <x:v>source_HGG_collection; complete_age_sex; broad_partition_label</x:v>
      </x:c>
      <x:c r="P85" s="6" t="n">
        <x:v>1</x:v>
      </x:c>
      <x:c r="Q85" s="8" t="n">
        <x:v>0.7715241469</x:v>
      </x:c>
      <x:c r="R85" s="8" t="n">
        <x:v>0.7897435897</x:v>
      </x:c>
      <x:c r="S85" s="6" t="n">
        <x:v>1</x:v>
      </x:c>
      <x:c r="T85" s="8" t="n">
        <x:f>(C85-Q85)^2</x:f>
        <x:v>0.05220121544977276</x:v>
      </x:c>
      <x:c r="U85" s="8" t="n">
        <x:f>(C85-R85)^2</x:f>
        <x:v>0.044207758072241934</x:v>
      </x:c>
    </x:row>
    <x:row r="86" ht="28" customHeight="1">
      <x:c r="A86" s="4" t="str">
        <x:v>UCSD-PTGBM-0053_01</x:v>
      </x:c>
      <x:c r="B86" s="4" t="str">
        <x:v>UCSD-PTGBM-0053</x:v>
      </x:c>
      <x:c r="C86" s="6" t="n">
        <x:v>1</x:v>
      </x:c>
      <x:c r="D86" s="4" t="str">
        <x:v>derived_from_published_243_equals_192_plus_51_partition</x:v>
      </x:c>
      <x:c r="E86" s="4"/>
      <x:c r="F86" s="6" t="n">
        <x:v>39</x:v>
      </x:c>
      <x:c r="G86" s="4" t="str">
        <x:v>Male</x:v>
      </x:c>
      <x:c r="H86" s="6" t="n">
        <x:v>1</x:v>
      </x:c>
      <x:c r="I86" s="4" t="str">
        <x:v>Glioblastoma</x:v>
      </x:c>
      <x:c r="J86" s="6" t="n">
        <x:v>0</x:v>
      </x:c>
      <x:c r="K86" s="6" t="n">
        <x:v>86</x:v>
      </x:c>
      <x:c r="L86" s="6"/>
      <x:c r="M86" s="6" t="n">
        <x:v>1</x:v>
      </x:c>
      <x:c r="N86" s="6" t="n">
        <x:v>1</x:v>
      </x:c>
      <x:c r="O86" s="4" t="str">
        <x:v>source_HGG_collection; complete_age_sex; broad_partition_label</x:v>
      </x:c>
      <x:c r="P86" s="6" t="n">
        <x:v>4</x:v>
      </x:c>
      <x:c r="Q86" s="8" t="n">
        <x:v>0.7488539464</x:v>
      </x:c>
      <x:c r="R86" s="8" t="n">
        <x:v>0.793814433</x:v>
      </x:c>
      <x:c r="S86" s="6" t="n">
        <x:v>1</x:v>
      </x:c>
      <x:c r="T86" s="8" t="n">
        <x:f>(C86-Q86)^2</x:f>
        <x:v>0.06307434023885405</x:v>
      </x:c>
      <x:c r="U86" s="8" t="n">
        <x:f>(C86-R86)^2</x:f>
        <x:v>0.04251248803911149</x:v>
      </x:c>
    </x:row>
    <x:row r="87" ht="28" customHeight="1">
      <x:c r="A87" s="4" t="str">
        <x:v>UCSD-PTGBM-0053_02</x:v>
      </x:c>
      <x:c r="B87" s="4" t="str">
        <x:v>UCSD-PTGBM-0053</x:v>
      </x:c>
      <x:c r="C87" s="6" t="n">
        <x:v>1</x:v>
      </x:c>
      <x:c r="D87" s="4" t="str">
        <x:v>derived_from_published_243_equals_192_plus_51_partition</x:v>
      </x:c>
      <x:c r="E87" s="4"/>
      <x:c r="F87" s="6" t="n">
        <x:v>39</x:v>
      </x:c>
      <x:c r="G87" s="4" t="str">
        <x:v>Male</x:v>
      </x:c>
      <x:c r="H87" s="6" t="n">
        <x:v>1</x:v>
      </x:c>
      <x:c r="I87" s="4" t="str">
        <x:v>Glioblastoma</x:v>
      </x:c>
      <x:c r="J87" s="6" t="n">
        <x:v>0</x:v>
      </x:c>
      <x:c r="K87" s="6" t="n">
        <x:v>87</x:v>
      </x:c>
      <x:c r="L87" s="6"/>
      <x:c r="M87" s="6" t="n">
        <x:v>1</x:v>
      </x:c>
      <x:c r="N87" s="6" t="n">
        <x:v>1</x:v>
      </x:c>
      <x:c r="O87" s="4" t="str">
        <x:v>source_HGG_collection; complete_age_sex; broad_partition_label</x:v>
      </x:c>
      <x:c r="P87" s="6" t="n">
        <x:v>4</x:v>
      </x:c>
      <x:c r="Q87" s="8" t="n">
        <x:v>0.7488539464</x:v>
      </x:c>
      <x:c r="R87" s="8" t="n">
        <x:v>0.793814433</x:v>
      </x:c>
      <x:c r="S87" s="6" t="n">
        <x:v>1</x:v>
      </x:c>
      <x:c r="T87" s="8" t="n">
        <x:f>(C87-Q87)^2</x:f>
        <x:v>0.06307434023885405</x:v>
      </x:c>
      <x:c r="U87" s="8" t="n">
        <x:f>(C87-R87)^2</x:f>
        <x:v>0.04251248803911149</x:v>
      </x:c>
    </x:row>
    <x:row r="88" ht="28" customHeight="1">
      <x:c r="A88" s="4" t="str">
        <x:v>UCSD-PTGBM-0053_03</x:v>
      </x:c>
      <x:c r="B88" s="4" t="str">
        <x:v>UCSD-PTGBM-0053</x:v>
      </x:c>
      <x:c r="C88" s="6" t="n">
        <x:v>1</x:v>
      </x:c>
      <x:c r="D88" s="4" t="str">
        <x:v>derived_from_published_243_equals_192_plus_51_partition</x:v>
      </x:c>
      <x:c r="E88" s="4"/>
      <x:c r="F88" s="6" t="n">
        <x:v>39</x:v>
      </x:c>
      <x:c r="G88" s="4" t="str">
        <x:v>Male</x:v>
      </x:c>
      <x:c r="H88" s="6" t="n">
        <x:v>1</x:v>
      </x:c>
      <x:c r="I88" s="4" t="str">
        <x:v>Glioblastoma</x:v>
      </x:c>
      <x:c r="J88" s="6" t="n">
        <x:v>0</x:v>
      </x:c>
      <x:c r="K88" s="6" t="n">
        <x:v>88</x:v>
      </x:c>
      <x:c r="L88" s="6"/>
      <x:c r="M88" s="6" t="n">
        <x:v>1</x:v>
      </x:c>
      <x:c r="N88" s="6" t="n">
        <x:v>1</x:v>
      </x:c>
      <x:c r="O88" s="4" t="str">
        <x:v>source_HGG_collection; complete_age_sex; broad_partition_label</x:v>
      </x:c>
      <x:c r="P88" s="6" t="n">
        <x:v>4</x:v>
      </x:c>
      <x:c r="Q88" s="8" t="n">
        <x:v>0.7488539464</x:v>
      </x:c>
      <x:c r="R88" s="8" t="n">
        <x:v>0.793814433</x:v>
      </x:c>
      <x:c r="S88" s="6" t="n">
        <x:v>1</x:v>
      </x:c>
      <x:c r="T88" s="8" t="n">
        <x:f>(C88-Q88)^2</x:f>
        <x:v>0.06307434023885405</x:v>
      </x:c>
      <x:c r="U88" s="8" t="n">
        <x:f>(C88-R88)^2</x:f>
        <x:v>0.04251248803911149</x:v>
      </x:c>
    </x:row>
    <x:row r="89" ht="28" customHeight="1">
      <x:c r="A89" s="4" t="str">
        <x:v>UCSD-PTGBM-0054_01</x:v>
      </x:c>
      <x:c r="B89" s="4" t="str">
        <x:v>UCSD-PTGBM-0054</x:v>
      </x:c>
      <x:c r="C89" s="6" t="n">
        <x:v>1</x:v>
      </x:c>
      <x:c r="D89" s="4" t="str">
        <x:v>derived_from_published_243_equals_192_plus_51_partition</x:v>
      </x:c>
      <x:c r="E89" s="4"/>
      <x:c r="F89" s="6" t="n">
        <x:v>63</x:v>
      </x:c>
      <x:c r="G89" s="4" t="str">
        <x:v>Male</x:v>
      </x:c>
      <x:c r="H89" s="6" t="n">
        <x:v>1</x:v>
      </x:c>
      <x:c r="I89" s="4" t="str">
        <x:v>Glioblastoma</x:v>
      </x:c>
      <x:c r="J89" s="6" t="n">
        <x:v>0</x:v>
      </x:c>
      <x:c r="K89" s="6" t="n">
        <x:v>89</x:v>
      </x:c>
      <x:c r="L89" s="6"/>
      <x:c r="M89" s="6" t="n">
        <x:v>1</x:v>
      </x:c>
      <x:c r="N89" s="6" t="n">
        <x:v>1</x:v>
      </x:c>
      <x:c r="O89" s="4" t="str">
        <x:v>source_HGG_collection; complete_age_sex; broad_partition_label</x:v>
      </x:c>
      <x:c r="P89" s="6" t="n">
        <x:v>1</x:v>
      </x:c>
      <x:c r="Q89" s="8" t="n">
        <x:v>0.843991485</x:v>
      </x:c>
      <x:c r="R89" s="8" t="n">
        <x:v>0.7897435897</x:v>
      </x:c>
      <x:c r="S89" s="6" t="n">
        <x:v>1</x:v>
      </x:c>
      <x:c r="T89" s="8" t="n">
        <x:f>(C89-Q89)^2</x:f>
        <x:v>0.02433865675250523</x:v>
      </x:c>
      <x:c r="U89" s="8" t="n">
        <x:f>(C89-R89)^2</x:f>
        <x:v>0.044207758072241934</x:v>
      </x:c>
    </x:row>
    <x:row r="90" ht="28" customHeight="1">
      <x:c r="A90" s="4" t="str">
        <x:v>UCSD-PTGBM-0055_01</x:v>
      </x:c>
      <x:c r="B90" s="4" t="str">
        <x:v>UCSD-PTGBM-0055</x:v>
      </x:c>
      <x:c r="C90" s="6" t="n">
        <x:v>0</x:v>
      </x:c>
      <x:c r="D90" s="4" t="str">
        <x:v>explicit_negative_case_list</x:v>
      </x:c>
      <x:c r="E90" s="4" t="str">
        <x:v>NS</x:v>
      </x:c>
      <x:c r="F90" s="6" t="n">
        <x:v>81</x:v>
      </x:c>
      <x:c r="G90" s="4" t="str">
        <x:v>Male</x:v>
      </x:c>
      <x:c r="H90" s="6" t="n">
        <x:v>1</x:v>
      </x:c>
      <x:c r="I90" s="4" t="str">
        <x:v>Glioblastoma</x:v>
      </x:c>
      <x:c r="J90" s="6" t="n">
        <x:v>0</x:v>
      </x:c>
      <x:c r="K90" s="6" t="n">
        <x:v>90</x:v>
      </x:c>
      <x:c r="L90" s="6" t="n">
        <x:v>24</x:v>
      </x:c>
      <x:c r="M90" s="6" t="n">
        <x:v>1</x:v>
      </x:c>
      <x:c r="N90" s="6" t="n">
        <x:v>1</x:v>
      </x:c>
      <x:c r="O90" s="4" t="str">
        <x:v>source_HGG_collection; complete_age_sex; broad_partition_label</x:v>
      </x:c>
      <x:c r="P90" s="6" t="n">
        <x:v>5</x:v>
      </x:c>
      <x:c r="Q90" s="8" t="n">
        <x:v>0.8914154184</x:v>
      </x:c>
      <x:c r="R90" s="8" t="n">
        <x:v>0.7875647668</x:v>
      </x:c>
      <x:c r="S90" s="6" t="n">
        <x:v>1</x:v>
      </x:c>
      <x:c r="T90" s="8" t="n">
        <x:f>(C90-Q90)^2</x:f>
        <x:v>0.7946214481612471</x:v>
      </x:c>
      <x:c r="U90" s="8" t="n">
        <x:f>(C90-R90)^2</x:f>
        <x:v>0.6202582619047383</x:v>
      </x:c>
    </x:row>
    <x:row r="91" ht="28" customHeight="1">
      <x:c r="A91" s="4" t="str">
        <x:v>UCSD-PTGBM-0056_01</x:v>
      </x:c>
      <x:c r="B91" s="4" t="str">
        <x:v>UCSD-PTGBM-0056</x:v>
      </x:c>
      <x:c r="C91" s="6" t="n">
        <x:v>1</x:v>
      </x:c>
      <x:c r="D91" s="4" t="str">
        <x:v>derived_from_published_243_equals_192_plus_51_partition</x:v>
      </x:c>
      <x:c r="E91" s="4"/>
      <x:c r="F91" s="6" t="n">
        <x:v>29</x:v>
      </x:c>
      <x:c r="G91" s="4" t="str">
        <x:v>Male</x:v>
      </x:c>
      <x:c r="H91" s="6" t="n">
        <x:v>1</x:v>
      </x:c>
      <x:c r="I91" s="4" t="str">
        <x:v>Glioblastoma</x:v>
      </x:c>
      <x:c r="J91" s="6" t="n">
        <x:v>0</x:v>
      </x:c>
      <x:c r="K91" s="6" t="n">
        <x:v>91</x:v>
      </x:c>
      <x:c r="L91" s="6"/>
      <x:c r="M91" s="6" t="n">
        <x:v>1</x:v>
      </x:c>
      <x:c r="N91" s="6" t="n">
        <x:v>1</x:v>
      </x:c>
      <x:c r="O91" s="4" t="str">
        <x:v>source_HGG_collection; complete_age_sex; broad_partition_label</x:v>
      </x:c>
      <x:c r="P91" s="6" t="n">
        <x:v>4</x:v>
      </x:c>
      <x:c r="Q91" s="8" t="n">
        <x:v>0.6935883257</x:v>
      </x:c>
      <x:c r="R91" s="8" t="n">
        <x:v>0.793814433</x:v>
      </x:c>
      <x:c r="S91" s="6" t="n">
        <x:v>1</x:v>
      </x:c>
      <x:c r="T91" s="8" t="n">
        <x:f>(C91-Q91)^2</x:f>
        <x:v>0.09388811414732931</x:v>
      </x:c>
      <x:c r="U91" s="8" t="n">
        <x:f>(C91-R91)^2</x:f>
        <x:v>0.04251248803911149</x:v>
      </x:c>
    </x:row>
    <x:row r="92" ht="28" customHeight="1">
      <x:c r="A92" s="4" t="str">
        <x:v>UCSD-PTGBM-0057_01</x:v>
      </x:c>
      <x:c r="B92" s="4" t="str">
        <x:v>UCSD-PTGBM-0057</x:v>
      </x:c>
      <x:c r="C92" s="6" t="n">
        <x:v>0</x:v>
      </x:c>
      <x:c r="D92" s="4" t="str">
        <x:v>explicit_negative_case_list</x:v>
      </x:c>
      <x:c r="E92" s="4" t="str">
        <x:v>NS</x:v>
      </x:c>
      <x:c r="F92" s="6" t="n">
        <x:v>49</x:v>
      </x:c>
      <x:c r="G92" s="4" t="str">
        <x:v>Male</x:v>
      </x:c>
      <x:c r="H92" s="6" t="n">
        <x:v>1</x:v>
      </x:c>
      <x:c r="I92" s="4" t="str">
        <x:v>Glioblastoma</x:v>
      </x:c>
      <x:c r="J92" s="6" t="n">
        <x:v>0</x:v>
      </x:c>
      <x:c r="K92" s="6" t="n">
        <x:v>92</x:v>
      </x:c>
      <x:c r="L92" s="6" t="n">
        <x:v>25</x:v>
      </x:c>
      <x:c r="M92" s="6" t="n">
        <x:v>1</x:v>
      </x:c>
      <x:c r="N92" s="6" t="n">
        <x:v>1</x:v>
      </x:c>
      <x:c r="O92" s="4" t="str">
        <x:v>source_HGG_collection; complete_age_sex; broad_partition_label</x:v>
      </x:c>
      <x:c r="P92" s="6" t="n">
        <x:v>3</x:v>
      </x:c>
      <x:c r="Q92" s="8" t="n">
        <x:v>0.7769085252</x:v>
      </x:c>
      <x:c r="R92" s="8" t="n">
        <x:v>0.7897435897</x:v>
      </x:c>
      <x:c r="S92" s="6" t="n">
        <x:v>1</x:v>
      </x:c>
      <x:c r="T92" s="8" t="n">
        <x:f>(C92-Q92)^2</x:f>
        <x:v>0.603586856528439</x:v>
      </x:c>
      <x:c r="U92" s="8" t="n">
        <x:f>(C92-R92)^2</x:f>
        <x:v>0.623694937472242</x:v>
      </x:c>
    </x:row>
    <x:row r="93" ht="28" customHeight="1">
      <x:c r="A93" s="4" t="str">
        <x:v>UCSD-PTGBM-0058_01</x:v>
      </x:c>
      <x:c r="B93" s="4" t="str">
        <x:v>UCSD-PTGBM-0058</x:v>
      </x:c>
      <x:c r="C93" s="6" t="n">
        <x:v>1</x:v>
      </x:c>
      <x:c r="D93" s="4" t="str">
        <x:v>derived_from_published_243_equals_192_plus_51_partition</x:v>
      </x:c>
      <x:c r="E93" s="4"/>
      <x:c r="F93" s="6" t="n">
        <x:v>53</x:v>
      </x:c>
      <x:c r="G93" s="4" t="str">
        <x:v>Male</x:v>
      </x:c>
      <x:c r="H93" s="6" t="n">
        <x:v>1</x:v>
      </x:c>
      <x:c r="I93" s="4" t="str">
        <x:v>Glioblastoma</x:v>
      </x:c>
      <x:c r="J93" s="6" t="n">
        <x:v>0</x:v>
      </x:c>
      <x:c r="K93" s="6" t="n">
        <x:v>93</x:v>
      </x:c>
      <x:c r="L93" s="6"/>
      <x:c r="M93" s="6" t="n">
        <x:v>1</x:v>
      </x:c>
      <x:c r="N93" s="6" t="n">
        <x:v>1</x:v>
      </x:c>
      <x:c r="O93" s="4" t="str">
        <x:v>source_HGG_collection; complete_age_sex; broad_partition_label</x:v>
      </x:c>
      <x:c r="P93" s="6" t="n">
        <x:v>5</x:v>
      </x:c>
      <x:c r="Q93" s="8" t="n">
        <x:v>0.7891255241</x:v>
      </x:c>
      <x:c r="R93" s="8" t="n">
        <x:v>0.7875647668</x:v>
      </x:c>
      <x:c r="S93" s="6" t="n">
        <x:v>1</x:v>
      </x:c>
      <x:c r="T93" s="8" t="n">
        <x:f>(C93-Q93)^2</x:f>
        <x:v>0.04446804458609967</x:v>
      </x:c>
      <x:c r="U93" s="8" t="n">
        <x:f>(C93-R93)^2</x:f>
        <x:v>0.04512872830473839</x:v>
      </x:c>
    </x:row>
    <x:row r="94" ht="28" customHeight="1">
      <x:c r="A94" s="4" t="str">
        <x:v>UCSD-PTGBM-0059_01</x:v>
      </x:c>
      <x:c r="B94" s="4" t="str">
        <x:v>UCSD-PTGBM-0059</x:v>
      </x:c>
      <x:c r="C94" s="6" t="n">
        <x:v>1</x:v>
      </x:c>
      <x:c r="D94" s="4" t="str">
        <x:v>derived_from_published_243_equals_192_plus_51_partition</x:v>
      </x:c>
      <x:c r="E94" s="4"/>
      <x:c r="F94" s="6" t="n">
        <x:v>56</x:v>
      </x:c>
      <x:c r="G94" s="4" t="str">
        <x:v>Female</x:v>
      </x:c>
      <x:c r="H94" s="6" t="n">
        <x:v>0</x:v>
      </x:c>
      <x:c r="I94" s="4" t="str">
        <x:v>Glioblastoma</x:v>
      </x:c>
      <x:c r="J94" s="6" t="n">
        <x:v>0</x:v>
      </x:c>
      <x:c r="K94" s="6" t="n">
        <x:v>94</x:v>
      </x:c>
      <x:c r="L94" s="6"/>
      <x:c r="M94" s="6" t="n">
        <x:v>1</x:v>
      </x:c>
      <x:c r="N94" s="6" t="n">
        <x:v>1</x:v>
      </x:c>
      <x:c r="O94" s="4" t="str">
        <x:v>source_HGG_collection; complete_age_sex; broad_partition_label</x:v>
      </x:c>
      <x:c r="P94" s="6" t="n">
        <x:v>4</x:v>
      </x:c>
      <x:c r="Q94" s="8" t="n">
        <x:v>0.7483350941</x:v>
      </x:c>
      <x:c r="R94" s="8" t="n">
        <x:v>0.793814433</x:v>
      </x:c>
      <x:c r="S94" s="6" t="n">
        <x:v>1</x:v>
      </x:c>
      <x:c r="T94" s="8" t="n">
        <x:f>(C94-Q94)^2</x:f>
        <x:v>0.06333522486165587</x:v>
      </x:c>
      <x:c r="U94" s="8" t="n">
        <x:f>(C94-R94)^2</x:f>
        <x:v>0.04251248803911149</x:v>
      </x:c>
    </x:row>
    <x:row r="95" ht="28" customHeight="1">
      <x:c r="A95" s="4" t="str">
        <x:v>UCSD-PTGBM-0060_01</x:v>
      </x:c>
      <x:c r="B95" s="4" t="str">
        <x:v>UCSD-PTGBM-0060</x:v>
      </x:c>
      <x:c r="C95" s="6" t="n">
        <x:v>1</x:v>
      </x:c>
      <x:c r="D95" s="4" t="str">
        <x:v>derived_from_published_243_equals_192_plus_51_partition</x:v>
      </x:c>
      <x:c r="E95" s="4"/>
      <x:c r="F95" s="6" t="n">
        <x:v>54</x:v>
      </x:c>
      <x:c r="G95" s="4" t="str">
        <x:v>Male</x:v>
      </x:c>
      <x:c r="H95" s="6" t="n">
        <x:v>1</x:v>
      </x:c>
      <x:c r="I95" s="4" t="str">
        <x:v>Glioblastoma</x:v>
      </x:c>
      <x:c r="J95" s="6" t="n">
        <x:v>0</x:v>
      </x:c>
      <x:c r="K95" s="6" t="n">
        <x:v>95</x:v>
      </x:c>
      <x:c r="L95" s="6"/>
      <x:c r="M95" s="6" t="n">
        <x:v>1</x:v>
      </x:c>
      <x:c r="N95" s="6" t="n">
        <x:v>1</x:v>
      </x:c>
      <x:c r="O95" s="4" t="str">
        <x:v>source_HGG_collection; complete_age_sex; broad_partition_label</x:v>
      </x:c>
      <x:c r="P95" s="6" t="n">
        <x:v>2</x:v>
      </x:c>
      <x:c r="Q95" s="8" t="n">
        <x:v>0.8136150117</x:v>
      </x:c>
      <x:c r="R95" s="8" t="n">
        <x:v>0.7897435897</x:v>
      </x:c>
      <x:c r="S95" s="6" t="n">
        <x:v>1</x:v>
      </x:c>
      <x:c r="T95" s="8" t="n">
        <x:f>(C95-Q95)^2</x:f>
        <x:v>0.03473936386359116</x:v>
      </x:c>
      <x:c r="U95" s="8" t="n">
        <x:f>(C95-R95)^2</x:f>
        <x:v>0.044207758072241934</x:v>
      </x:c>
    </x:row>
    <x:row r="96" ht="28" customHeight="1">
      <x:c r="A96" s="4" t="str">
        <x:v>UCSD-PTGBM-0061_01</x:v>
      </x:c>
      <x:c r="B96" s="4" t="str">
        <x:v>UCSD-PTGBM-0061</x:v>
      </x:c>
      <x:c r="C96" s="6" t="n">
        <x:v>1</x:v>
      </x:c>
      <x:c r="D96" s="4" t="str">
        <x:v>derived_from_published_243_equals_192_plus_51_partition</x:v>
      </x:c>
      <x:c r="E96" s="4"/>
      <x:c r="F96" s="6" t="n">
        <x:v>74</x:v>
      </x:c>
      <x:c r="G96" s="4" t="str">
        <x:v>Female</x:v>
      </x:c>
      <x:c r="H96" s="6" t="n">
        <x:v>0</x:v>
      </x:c>
      <x:c r="I96" s="4" t="str">
        <x:v>Glioblastoma</x:v>
      </x:c>
      <x:c r="J96" s="6" t="n">
        <x:v>0</x:v>
      </x:c>
      <x:c r="K96" s="6" t="n">
        <x:v>96</x:v>
      </x:c>
      <x:c r="L96" s="6"/>
      <x:c r="M96" s="6" t="n">
        <x:v>1</x:v>
      </x:c>
      <x:c r="N96" s="6" t="n">
        <x:v>1</x:v>
      </x:c>
      <x:c r="O96" s="4" t="str">
        <x:v>source_HGG_collection; complete_age_sex; broad_partition_label</x:v>
      </x:c>
      <x:c r="P96" s="6" t="n">
        <x:v>4</x:v>
      </x:c>
      <x:c r="Q96" s="8" t="n">
        <x:v>0.8300188493</x:v>
      </x:c>
      <x:c r="R96" s="8" t="n">
        <x:v>0.793814433</x:v>
      </x:c>
      <x:c r="S96" s="6" t="n">
        <x:v>1</x:v>
      </x:c>
      <x:c r="T96" s="8" t="n">
        <x:f>(C96-Q96)^2</x:f>
        <x:v>0.0288935915932961</x:v>
      </x:c>
      <x:c r="U96" s="8" t="n">
        <x:f>(C96-R96)^2</x:f>
        <x:v>0.04251248803911149</x:v>
      </x:c>
    </x:row>
    <x:row r="97" ht="28" customHeight="1">
      <x:c r="A97" s="4" t="str">
        <x:v>UCSD-PTGBM-0062_01</x:v>
      </x:c>
      <x:c r="B97" s="4" t="str">
        <x:v>UCSD-PTGBM-0062</x:v>
      </x:c>
      <x:c r="C97" s="6" t="n">
        <x:v>1</x:v>
      </x:c>
      <x:c r="D97" s="4" t="str">
        <x:v>derived_from_published_243_equals_192_plus_51_partition</x:v>
      </x:c>
      <x:c r="E97" s="4"/>
      <x:c r="F97" s="6" t="n">
        <x:v>67</x:v>
      </x:c>
      <x:c r="G97" s="4" t="str">
        <x:v>Female</x:v>
      </x:c>
      <x:c r="H97" s="6" t="n">
        <x:v>0</x:v>
      </x:c>
      <x:c r="I97" s="4" t="str">
        <x:v>Glioblastoma</x:v>
      </x:c>
      <x:c r="J97" s="6" t="n">
        <x:v>0</x:v>
      </x:c>
      <x:c r="K97" s="6" t="n">
        <x:v>97</x:v>
      </x:c>
      <x:c r="L97" s="6"/>
      <x:c r="M97" s="6" t="n">
        <x:v>1</x:v>
      </x:c>
      <x:c r="N97" s="6" t="n">
        <x:v>1</x:v>
      </x:c>
      <x:c r="O97" s="4" t="str">
        <x:v>source_HGG_collection; complete_age_sex; broad_partition_label</x:v>
      </x:c>
      <x:c r="P97" s="6" t="n">
        <x:v>5</x:v>
      </x:c>
      <x:c r="Q97" s="8" t="n">
        <x:v>0.8355606608</x:v>
      </x:c>
      <x:c r="R97" s="8" t="n">
        <x:v>0.7875647668</x:v>
      </x:c>
      <x:c r="S97" s="6" t="n">
        <x:v>1</x:v>
      </x:c>
      <x:c r="T97" s="8" t="n">
        <x:f>(C97-Q97)^2</x:f>
        <x:v>0.02704029627653265</x:v>
      </x:c>
      <x:c r="U97" s="8" t="n">
        <x:f>(C97-R97)^2</x:f>
        <x:v>0.04512872830473839</x:v>
      </x:c>
    </x:row>
    <x:row r="98" ht="28" customHeight="1">
      <x:c r="A98" s="4" t="str">
        <x:v>UCSD-PTGBM-0063_01</x:v>
      </x:c>
      <x:c r="B98" s="4" t="str">
        <x:v>UCSD-PTGBM-0063</x:v>
      </x:c>
      <x:c r="C98" s="6" t="n">
        <x:v>1</x:v>
      </x:c>
      <x:c r="D98" s="4" t="str">
        <x:v>derived_from_published_243_equals_192_plus_51_partition</x:v>
      </x:c>
      <x:c r="E98" s="4"/>
      <x:c r="F98" s="6" t="n">
        <x:v>47</x:v>
      </x:c>
      <x:c r="G98" s="4" t="str">
        <x:v>Male</x:v>
      </x:c>
      <x:c r="H98" s="6" t="n">
        <x:v>1</x:v>
      </x:c>
      <x:c r="I98" s="4" t="str">
        <x:v>Glioblastoma</x:v>
      </x:c>
      <x:c r="J98" s="6" t="n">
        <x:v>0</x:v>
      </x:c>
      <x:c r="K98" s="6" t="n">
        <x:v>98</x:v>
      </x:c>
      <x:c r="L98" s="6"/>
      <x:c r="M98" s="6" t="n">
        <x:v>1</x:v>
      </x:c>
      <x:c r="N98" s="6" t="n">
        <x:v>1</x:v>
      </x:c>
      <x:c r="O98" s="4" t="str">
        <x:v>source_HGG_collection; complete_age_sex; broad_partition_label</x:v>
      </x:c>
      <x:c r="P98" s="6" t="n">
        <x:v>4</x:v>
      </x:c>
      <x:c r="Q98" s="8" t="n">
        <x:v>0.788007634</x:v>
      </x:c>
      <x:c r="R98" s="8" t="n">
        <x:v>0.793814433</x:v>
      </x:c>
      <x:c r="S98" s="6" t="n">
        <x:v>1</x:v>
      </x:c>
      <x:c r="T98" s="8" t="n">
        <x:f>(C98-Q98)^2</x:f>
        <x:v>0.04494076324227798</x:v>
      </x:c>
      <x:c r="U98" s="8" t="n">
        <x:f>(C98-R98)^2</x:f>
        <x:v>0.04251248803911149</x:v>
      </x:c>
    </x:row>
    <x:row r="99" ht="28" customHeight="1">
      <x:c r="A99" s="4" t="str">
        <x:v>UCSD-PTGBM-0064_01</x:v>
      </x:c>
      <x:c r="B99" s="4" t="str">
        <x:v>UCSD-PTGBM-0064</x:v>
      </x:c>
      <x:c r="C99" s="6" t="n">
        <x:v>1</x:v>
      </x:c>
      <x:c r="D99" s="4" t="str">
        <x:v>derived_from_published_243_equals_192_plus_51_partition</x:v>
      </x:c>
      <x:c r="E99" s="4"/>
      <x:c r="F99" s="6" t="n">
        <x:v>76</x:v>
      </x:c>
      <x:c r="G99" s="4" t="str">
        <x:v>Male</x:v>
      </x:c>
      <x:c r="H99" s="6" t="n">
        <x:v>1</x:v>
      </x:c>
      <x:c r="I99" s="4" t="str">
        <x:v>Glioblastoma</x:v>
      </x:c>
      <x:c r="J99" s="6" t="n">
        <x:v>0</x:v>
      </x:c>
      <x:c r="K99" s="6" t="n">
        <x:v>99</x:v>
      </x:c>
      <x:c r="L99" s="6"/>
      <x:c r="M99" s="6" t="n">
        <x:v>1</x:v>
      </x:c>
      <x:c r="N99" s="6" t="n">
        <x:v>1</x:v>
      </x:c>
      <x:c r="O99" s="4" t="str">
        <x:v>source_HGG_collection; complete_age_sex; broad_partition_label</x:v>
      </x:c>
      <x:c r="P99" s="6" t="n">
        <x:v>3</x:v>
      </x:c>
      <x:c r="Q99" s="8" t="n">
        <x:v>0.912257718</x:v>
      </x:c>
      <x:c r="R99" s="8" t="n">
        <x:v>0.7897435897</x:v>
      </x:c>
      <x:c r="S99" s="6" t="n">
        <x:v>1</x:v>
      </x:c>
      <x:c r="T99" s="8" t="n">
        <x:f>(C99-Q99)^2</x:f>
        <x:v>0.007698708050567524</x:v>
      </x:c>
      <x:c r="U99" s="8" t="n">
        <x:f>(C99-R99)^2</x:f>
        <x:v>0.044207758072241934</x:v>
      </x:c>
    </x:row>
    <x:row r="100" ht="28" customHeight="1">
      <x:c r="A100" s="4" t="str">
        <x:v>UCSD-PTGBM-0065_01</x:v>
      </x:c>
      <x:c r="B100" s="4" t="str">
        <x:v>UCSD-PTGBM-0065</x:v>
      </x:c>
      <x:c r="C100" s="6" t="n">
        <x:v>0</x:v>
      </x:c>
      <x:c r="D100" s="4" t="str">
        <x:v>explicit_negative_case_list</x:v>
      </x:c>
      <x:c r="E100" s="4" t="str">
        <x:v>NS</x:v>
      </x:c>
      <x:c r="F100" s="6" t="n">
        <x:v>33</x:v>
      </x:c>
      <x:c r="G100" s="4" t="str">
        <x:v>Male</x:v>
      </x:c>
      <x:c r="H100" s="6" t="n">
        <x:v>1</x:v>
      </x:c>
      <x:c r="I100" s="4" t="str">
        <x:v>Glioblastoma</x:v>
      </x:c>
      <x:c r="J100" s="6" t="n">
        <x:v>0</x:v>
      </x:c>
      <x:c r="K100" s="6" t="n">
        <x:v>100</x:v>
      </x:c>
      <x:c r="L100" s="6" t="n">
        <x:v>26</x:v>
      </x:c>
      <x:c r="M100" s="6" t="n">
        <x:v>1</x:v>
      </x:c>
      <x:c r="N100" s="6" t="n">
        <x:v>1</x:v>
      </x:c>
      <x:c r="O100" s="4" t="str">
        <x:v>source_HGG_collection; complete_age_sex; broad_partition_label</x:v>
      </x:c>
      <x:c r="P100" s="6" t="n">
        <x:v>4</x:v>
      </x:c>
      <x:c r="Q100" s="8" t="n">
        <x:v>0.7165014286</x:v>
      </x:c>
      <x:c r="R100" s="8" t="n">
        <x:v>0.793814433</x:v>
      </x:c>
      <x:c r="S100" s="6" t="n">
        <x:v>1</x:v>
      </x:c>
      <x:c r="T100" s="8" t="n">
        <x:f>(C100-Q100)^2</x:f>
        <x:v>0.5133742971858409</x:v>
      </x:c>
      <x:c r="U100" s="8" t="n">
        <x:f>(C100-R100)^2</x:f>
        <x:v>0.6301413540391114</x:v>
      </x:c>
    </x:row>
    <x:row r="101" ht="28" customHeight="1">
      <x:c r="A101" s="4" t="str">
        <x:v>UCSD-PTGBM-0066_01</x:v>
      </x:c>
      <x:c r="B101" s="4" t="str">
        <x:v>UCSD-PTGBM-0066</x:v>
      </x:c>
      <x:c r="C101" s="6" t="n">
        <x:v>1</x:v>
      </x:c>
      <x:c r="D101" s="4" t="str">
        <x:v>derived_from_published_243_equals_192_plus_51_partition</x:v>
      </x:c>
      <x:c r="E101" s="4"/>
      <x:c r="F101" s="6" t="n">
        <x:v>62</x:v>
      </x:c>
      <x:c r="G101" s="4" t="str">
        <x:v>Male</x:v>
      </x:c>
      <x:c r="H101" s="6" t="n">
        <x:v>1</x:v>
      </x:c>
      <x:c r="I101" s="4" t="str">
        <x:v>Glioblastoma</x:v>
      </x:c>
      <x:c r="J101" s="6" t="n">
        <x:v>0</x:v>
      </x:c>
      <x:c r="K101" s="6" t="n">
        <x:v>101</x:v>
      </x:c>
      <x:c r="L101" s="6"/>
      <x:c r="M101" s="6" t="n">
        <x:v>1</x:v>
      </x:c>
      <x:c r="N101" s="6" t="n">
        <x:v>1</x:v>
      </x:c>
      <x:c r="O101" s="4" t="str">
        <x:v>source_HGG_collection; complete_age_sex; broad_partition_label</x:v>
      </x:c>
      <x:c r="P101" s="6" t="n">
        <x:v>5</x:v>
      </x:c>
      <x:c r="Q101" s="8" t="n">
        <x:v>0.8280945426</x:v>
      </x:c>
      <x:c r="R101" s="8" t="n">
        <x:v>0.7875647668</x:v>
      </x:c>
      <x:c r="S101" s="6" t="n">
        <x:v>1</x:v>
      </x:c>
      <x:c r="T101" s="8" t="n">
        <x:f>(C101-Q101)^2</x:f>
        <x:v>0.0295514862839032</x:v>
      </x:c>
      <x:c r="U101" s="8" t="n">
        <x:f>(C101-R101)^2</x:f>
        <x:v>0.04512872830473839</x:v>
      </x:c>
    </x:row>
    <x:row r="102" ht="28" customHeight="1">
      <x:c r="A102" s="4" t="str">
        <x:v>UCSD-PTGBM-0066_02</x:v>
      </x:c>
      <x:c r="B102" s="4" t="str">
        <x:v>UCSD-PTGBM-0066</x:v>
      </x:c>
      <x:c r="C102" s="6" t="n">
        <x:v>0</x:v>
      </x:c>
      <x:c r="D102" s="4" t="str">
        <x:v>explicit_negative_case_list</x:v>
      </x:c>
      <x:c r="E102" s="4" t="str">
        <x:v>NS</x:v>
      </x:c>
      <x:c r="F102" s="6" t="n">
        <x:v>62</x:v>
      </x:c>
      <x:c r="G102" s="4" t="str">
        <x:v>Male</x:v>
      </x:c>
      <x:c r="H102" s="6" t="n">
        <x:v>1</x:v>
      </x:c>
      <x:c r="I102" s="4" t="str">
        <x:v>Glioblastoma</x:v>
      </x:c>
      <x:c r="J102" s="6" t="n">
        <x:v>0</x:v>
      </x:c>
      <x:c r="K102" s="6" t="n">
        <x:v>102</x:v>
      </x:c>
      <x:c r="L102" s="6" t="n">
        <x:v>27</x:v>
      </x:c>
      <x:c r="M102" s="6" t="n">
        <x:v>1</x:v>
      </x:c>
      <x:c r="N102" s="6" t="n">
        <x:v>1</x:v>
      </x:c>
      <x:c r="O102" s="4" t="str">
        <x:v>source_HGG_collection; complete_age_sex; broad_partition_label</x:v>
      </x:c>
      <x:c r="P102" s="6" t="n">
        <x:v>5</x:v>
      </x:c>
      <x:c r="Q102" s="8" t="n">
        <x:v>0.8280945426</x:v>
      </x:c>
      <x:c r="R102" s="8" t="n">
        <x:v>0.7875647668</x:v>
      </x:c>
      <x:c r="S102" s="6" t="n">
        <x:v>1</x:v>
      </x:c>
      <x:c r="T102" s="8" t="n">
        <x:f>(C102-Q102)^2</x:f>
        <x:v>0.6857405714839033</x:v>
      </x:c>
      <x:c r="U102" s="8" t="n">
        <x:f>(C102-R102)^2</x:f>
        <x:v>0.6202582619047383</x:v>
      </x:c>
    </x:row>
    <x:row r="103" ht="28" customHeight="1">
      <x:c r="A103" s="4" t="str">
        <x:v>UCSD-PTGBM-0067_01</x:v>
      </x:c>
      <x:c r="B103" s="4" t="str">
        <x:v>UCSD-PTGBM-0067</x:v>
      </x:c>
      <x:c r="C103" s="6" t="n">
        <x:v>1</x:v>
      </x:c>
      <x:c r="D103" s="4" t="str">
        <x:v>derived_from_published_243_equals_192_plus_51_partition</x:v>
      </x:c>
      <x:c r="E103" s="4"/>
      <x:c r="F103" s="6" t="n">
        <x:v>60</x:v>
      </x:c>
      <x:c r="G103" s="4" t="str">
        <x:v>Male</x:v>
      </x:c>
      <x:c r="H103" s="6" t="n">
        <x:v>1</x:v>
      </x:c>
      <x:c r="I103" s="4" t="str">
        <x:v>Glioblastoma</x:v>
      </x:c>
      <x:c r="J103" s="6" t="n">
        <x:v>0</x:v>
      </x:c>
      <x:c r="K103" s="6" t="n">
        <x:v>103</x:v>
      </x:c>
      <x:c r="L103" s="6"/>
      <x:c r="M103" s="6" t="n">
        <x:v>1</x:v>
      </x:c>
      <x:c r="N103" s="6" t="n">
        <x:v>1</x:v>
      </x:c>
      <x:c r="O103" s="4" t="str">
        <x:v>source_HGG_collection; complete_age_sex; broad_partition_label</x:v>
      </x:c>
      <x:c r="P103" s="6" t="n">
        <x:v>5</x:v>
      </x:c>
      <x:c r="Q103" s="8" t="n">
        <x:v>0.8199586023</x:v>
      </x:c>
      <x:c r="R103" s="8" t="n">
        <x:v>0.7875647668</x:v>
      </x:c>
      <x:c r="S103" s="6" t="n">
        <x:v>1</x:v>
      </x:c>
      <x:c r="T103" s="8" t="n">
        <x:f>(C103-Q103)^2</x:f>
        <x:v>0.032414904885769584</x:v>
      </x:c>
      <x:c r="U103" s="8" t="n">
        <x:f>(C103-R103)^2</x:f>
        <x:v>0.04512872830473839</x:v>
      </x:c>
    </x:row>
    <x:row r="104" ht="28" customHeight="1">
      <x:c r="A104" s="4" t="str">
        <x:v>UCSD-PTGBM-0068_01</x:v>
      </x:c>
      <x:c r="B104" s="4" t="str">
        <x:v>UCSD-PTGBM-0068</x:v>
      </x:c>
      <x:c r="C104" s="6" t="n">
        <x:v>1</x:v>
      </x:c>
      <x:c r="D104" s="4" t="str">
        <x:v>derived_from_published_243_equals_192_plus_51_partition</x:v>
      </x:c>
      <x:c r="E104" s="4"/>
      <x:c r="F104" s="6" t="n">
        <x:v>53</x:v>
      </x:c>
      <x:c r="G104" s="4" t="str">
        <x:v>Male</x:v>
      </x:c>
      <x:c r="H104" s="6" t="n">
        <x:v>1</x:v>
      </x:c>
      <x:c r="I104" s="4" t="str">
        <x:v>Glioblastoma</x:v>
      </x:c>
      <x:c r="J104" s="6" t="n">
        <x:v>0</x:v>
      </x:c>
      <x:c r="K104" s="6" t="n">
        <x:v>104</x:v>
      </x:c>
      <x:c r="L104" s="6"/>
      <x:c r="M104" s="6" t="n">
        <x:v>1</x:v>
      </x:c>
      <x:c r="N104" s="6" t="n">
        <x:v>1</x:v>
      </x:c>
      <x:c r="O104" s="4" t="str">
        <x:v>source_HGG_collection; complete_age_sex; broad_partition_label</x:v>
      </x:c>
      <x:c r="P104" s="6" t="n">
        <x:v>4</x:v>
      </x:c>
      <x:c r="Q104" s="8" t="n">
        <x:v>0.8143147106</x:v>
      </x:c>
      <x:c r="R104" s="8" t="n">
        <x:v>0.793814433</x:v>
      </x:c>
      <x:c r="S104" s="6" t="n">
        <x:v>1</x:v>
      </x:c>
      <x:c r="T104" s="8" t="n">
        <x:f>(C104-Q104)^2</x:f>
        <x:v>0.03447902669956174</x:v>
      </x:c>
      <x:c r="U104" s="8" t="n">
        <x:f>(C104-R104)^2</x:f>
        <x:v>0.04251248803911149</x:v>
      </x:c>
    </x:row>
    <x:row r="105" ht="28" customHeight="1">
      <x:c r="A105" s="4" t="str">
        <x:v>UCSD-PTGBM-0069_01</x:v>
      </x:c>
      <x:c r="B105" s="4" t="str">
        <x:v>UCSD-PTGBM-0069</x:v>
      </x:c>
      <x:c r="C105" s="6" t="n">
        <x:v>1</x:v>
      </x:c>
      <x:c r="D105" s="4" t="str">
        <x:v>derived_from_published_243_equals_192_plus_51_partition</x:v>
      </x:c>
      <x:c r="E105" s="4"/>
      <x:c r="F105" s="6" t="n">
        <x:v>45</x:v>
      </x:c>
      <x:c r="G105" s="4" t="str">
        <x:v>Male</x:v>
      </x:c>
      <x:c r="H105" s="6" t="n">
        <x:v>1</x:v>
      </x:c>
      <x:c r="I105" s="4" t="str">
        <x:v>Glioblastoma</x:v>
      </x:c>
      <x:c r="J105" s="6" t="n">
        <x:v>0</x:v>
      </x:c>
      <x:c r="K105" s="6" t="n">
        <x:v>105</x:v>
      </x:c>
      <x:c r="L105" s="6"/>
      <x:c r="M105" s="6" t="n">
        <x:v>1</x:v>
      </x:c>
      <x:c r="N105" s="6" t="n">
        <x:v>1</x:v>
      </x:c>
      <x:c r="O105" s="4" t="str">
        <x:v>source_HGG_collection; complete_age_sex; broad_partition_label</x:v>
      </x:c>
      <x:c r="P105" s="6" t="n">
        <x:v>2</x:v>
      </x:c>
      <x:c r="Q105" s="8" t="n">
        <x:v>0.7824440384</x:v>
      </x:c>
      <x:c r="R105" s="8" t="n">
        <x:v>0.7897435897</x:v>
      </x:c>
      <x:c r="S105" s="6" t="n">
        <x:v>1</x:v>
      </x:c>
      <x:c r="T105" s="8" t="n">
        <x:f>(C105-Q105)^2</x:f>
        <x:v>0.04733059642770068</x:v>
      </x:c>
      <x:c r="U105" s="8" t="n">
        <x:f>(C105-R105)^2</x:f>
        <x:v>0.044207758072241934</x:v>
      </x:c>
    </x:row>
    <x:row r="106" ht="28" customHeight="1">
      <x:c r="A106" s="4" t="str">
        <x:v>UCSD-PTGBM-0070_01</x:v>
      </x:c>
      <x:c r="B106" s="4" t="str">
        <x:v>UCSD-PTGBM-0070</x:v>
      </x:c>
      <x:c r="C106" s="6" t="n">
        <x:v>1</x:v>
      </x:c>
      <x:c r="D106" s="4" t="str">
        <x:v>derived_from_published_243_equals_192_plus_51_partition</x:v>
      </x:c>
      <x:c r="E106" s="4"/>
      <x:c r="F106" s="6" t="n">
        <x:v>61</x:v>
      </x:c>
      <x:c r="G106" s="4" t="str">
        <x:v>Male</x:v>
      </x:c>
      <x:c r="H106" s="6" t="n">
        <x:v>1</x:v>
      </x:c>
      <x:c r="I106" s="4" t="str">
        <x:v>Glioblastoma</x:v>
      </x:c>
      <x:c r="J106" s="6" t="n">
        <x:v>0</x:v>
      </x:c>
      <x:c r="K106" s="6" t="n">
        <x:v>106</x:v>
      </x:c>
      <x:c r="L106" s="6"/>
      <x:c r="M106" s="6" t="n">
        <x:v>1</x:v>
      </x:c>
      <x:c r="N106" s="6" t="n">
        <x:v>1</x:v>
      </x:c>
      <x:c r="O106" s="4" t="str">
        <x:v>source_HGG_collection; complete_age_sex; broad_partition_label</x:v>
      </x:c>
      <x:c r="P106" s="6" t="n">
        <x:v>3</x:v>
      </x:c>
      <x:c r="Q106" s="8" t="n">
        <x:v>0.8499060318</x:v>
      </x:c>
      <x:c r="R106" s="8" t="n">
        <x:v>0.7897435897</x:v>
      </x:c>
      <x:c r="S106" s="6" t="n">
        <x:v>1</x:v>
      </x:c>
      <x:c r="T106" s="8" t="n">
        <x:f>(C106-Q106)^2</x:f>
        <x:v>0.022528199290022605</x:v>
      </x:c>
      <x:c r="U106" s="8" t="n">
        <x:f>(C106-R106)^2</x:f>
        <x:v>0.044207758072241934</x:v>
      </x:c>
    </x:row>
    <x:row r="107" ht="28" customHeight="1">
      <x:c r="A107" s="4" t="str">
        <x:v>UCSD-PTGBM-0071_01</x:v>
      </x:c>
      <x:c r="B107" s="4" t="str">
        <x:v>UCSD-PTGBM-0071</x:v>
      </x:c>
      <x:c r="C107" s="6" t="n">
        <x:v>1</x:v>
      </x:c>
      <x:c r="D107" s="4" t="str">
        <x:v>derived_from_published_243_equals_192_plus_51_partition</x:v>
      </x:c>
      <x:c r="E107" s="4"/>
      <x:c r="F107" s="6" t="n">
        <x:v>70</x:v>
      </x:c>
      <x:c r="G107" s="4" t="str">
        <x:v>Male</x:v>
      </x:c>
      <x:c r="H107" s="6" t="n">
        <x:v>1</x:v>
      </x:c>
      <x:c r="I107" s="4" t="str">
        <x:v>Glioblastoma</x:v>
      </x:c>
      <x:c r="J107" s="6" t="n">
        <x:v>0</x:v>
      </x:c>
      <x:c r="K107" s="6" t="n">
        <x:v>107</x:v>
      </x:c>
      <x:c r="L107" s="6"/>
      <x:c r="M107" s="6" t="n">
        <x:v>1</x:v>
      </x:c>
      <x:c r="N107" s="6" t="n">
        <x:v>1</x:v>
      </x:c>
      <x:c r="O107" s="4" t="str">
        <x:v>source_HGG_collection; complete_age_sex; broad_partition_label</x:v>
      </x:c>
      <x:c r="P107" s="6" t="n">
        <x:v>1</x:v>
      </x:c>
      <x:c r="Q107" s="8" t="n">
        <x:v>0.8692590283</x:v>
      </x:c>
      <x:c r="R107" s="8" t="n">
        <x:v>0.7897435897</x:v>
      </x:c>
      <x:c r="S107" s="6" t="n">
        <x:v>1</x:v>
      </x:c>
      <x:c r="T107" s="8" t="n">
        <x:f>(C107-Q107)^2</x:f>
        <x:v>0.017093201681060197</x:v>
      </x:c>
      <x:c r="U107" s="8" t="n">
        <x:f>(C107-R107)^2</x:f>
        <x:v>0.044207758072241934</x:v>
      </x:c>
    </x:row>
    <x:row r="108" ht="28" customHeight="1">
      <x:c r="A108" s="4" t="str">
        <x:v>UCSD-PTGBM-0072_01</x:v>
      </x:c>
      <x:c r="B108" s="4" t="str">
        <x:v>UCSD-PTGBM-0072</x:v>
      </x:c>
      <x:c r="C108" s="6" t="n">
        <x:v>1</x:v>
      </x:c>
      <x:c r="D108" s="4" t="str">
        <x:v>derived_from_published_243_equals_192_plus_51_partition</x:v>
      </x:c>
      <x:c r="E108" s="4"/>
      <x:c r="F108" s="6" t="n">
        <x:v>56</x:v>
      </x:c>
      <x:c r="G108" s="4" t="str">
        <x:v>Male</x:v>
      </x:c>
      <x:c r="H108" s="6" t="n">
        <x:v>1</x:v>
      </x:c>
      <x:c r="I108" s="4" t="str">
        <x:v>Glioblastoma</x:v>
      </x:c>
      <x:c r="J108" s="6" t="n">
        <x:v>0</x:v>
      </x:c>
      <x:c r="K108" s="6" t="n">
        <x:v>108</x:v>
      </x:c>
      <x:c r="L108" s="6"/>
      <x:c r="M108" s="6" t="n">
        <x:v>1</x:v>
      </x:c>
      <x:c r="N108" s="6" t="n">
        <x:v>1</x:v>
      </x:c>
      <x:c r="O108" s="4" t="str">
        <x:v>source_HGG_collection; complete_age_sex; broad_partition_label</x:v>
      </x:c>
      <x:c r="P108" s="6" t="n">
        <x:v>4</x:v>
      </x:c>
      <x:c r="Q108" s="8" t="n">
        <x:v>0.8264913134</x:v>
      </x:c>
      <x:c r="R108" s="8" t="n">
        <x:v>0.793814433</x:v>
      </x:c>
      <x:c r="S108" s="6" t="n">
        <x:v>1</x:v>
      </x:c>
      <x:c r="T108" s="8" t="n">
        <x:f>(C108-Q108)^2</x:f>
        <x:v>0.030105264325657008</x:v>
      </x:c>
      <x:c r="U108" s="8" t="n">
        <x:f>(C108-R108)^2</x:f>
        <x:v>0.04251248803911149</x:v>
      </x:c>
    </x:row>
    <x:row r="109" ht="28" customHeight="1">
      <x:c r="A109" s="4" t="str">
        <x:v>UCSD-PTGBM-0073_01</x:v>
      </x:c>
      <x:c r="B109" s="4" t="str">
        <x:v>UCSD-PTGBM-0073</x:v>
      </x:c>
      <x:c r="C109" s="6" t="n">
        <x:v>1</x:v>
      </x:c>
      <x:c r="D109" s="4" t="str">
        <x:v>derived_from_published_243_equals_192_plus_51_partition</x:v>
      </x:c>
      <x:c r="E109" s="4"/>
      <x:c r="F109" s="6" t="n">
        <x:v>66</x:v>
      </x:c>
      <x:c r="G109" s="4" t="str">
        <x:v>Male</x:v>
      </x:c>
      <x:c r="H109" s="6" t="n">
        <x:v>1</x:v>
      </x:c>
      <x:c r="I109" s="4" t="str">
        <x:v>Glioblastoma</x:v>
      </x:c>
      <x:c r="J109" s="6" t="n">
        <x:v>0</x:v>
      </x:c>
      <x:c r="K109" s="6" t="n">
        <x:v>109</x:v>
      </x:c>
      <x:c r="L109" s="6"/>
      <x:c r="M109" s="6" t="n">
        <x:v>1</x:v>
      </x:c>
      <x:c r="N109" s="6" t="n">
        <x:v>1</x:v>
      </x:c>
      <x:c r="O109" s="4" t="str">
        <x:v>source_HGG_collection; complete_age_sex; broad_partition_label</x:v>
      </x:c>
      <x:c r="P109" s="6" t="n">
        <x:v>3</x:v>
      </x:c>
      <x:c r="Q109" s="8" t="n">
        <x:v>0.8739578424</x:v>
      </x:c>
      <x:c r="R109" s="8" t="n">
        <x:v>0.7897435897</x:v>
      </x:c>
      <x:c r="S109" s="6" t="n">
        <x:v>1</x:v>
      </x:c>
      <x:c r="T109" s="8" t="n">
        <x:f>(C109-Q109)^2</x:f>
        <x:v>0.01588662549246325</x:v>
      </x:c>
      <x:c r="U109" s="8" t="n">
        <x:f>(C109-R109)^2</x:f>
        <x:v>0.044207758072241934</x:v>
      </x:c>
    </x:row>
    <x:row r="110" ht="28" customHeight="1">
      <x:c r="A110" s="4" t="str">
        <x:v>UCSD-PTGBM-0073_02</x:v>
      </x:c>
      <x:c r="B110" s="4" t="str">
        <x:v>UCSD-PTGBM-0073</x:v>
      </x:c>
      <x:c r="C110" s="6" t="n">
        <x:v>1</x:v>
      </x:c>
      <x:c r="D110" s="4" t="str">
        <x:v>derived_from_published_243_equals_192_plus_51_partition</x:v>
      </x:c>
      <x:c r="E110" s="4"/>
      <x:c r="F110" s="6" t="n">
        <x:v>66</x:v>
      </x:c>
      <x:c r="G110" s="4" t="str">
        <x:v>Male</x:v>
      </x:c>
      <x:c r="H110" s="6" t="n">
        <x:v>1</x:v>
      </x:c>
      <x:c r="I110" s="4" t="str">
        <x:v>Glioblastoma</x:v>
      </x:c>
      <x:c r="J110" s="6" t="n">
        <x:v>0</x:v>
      </x:c>
      <x:c r="K110" s="6" t="n">
        <x:v>110</x:v>
      </x:c>
      <x:c r="L110" s="6"/>
      <x:c r="M110" s="6" t="n">
        <x:v>1</x:v>
      </x:c>
      <x:c r="N110" s="6" t="n">
        <x:v>1</x:v>
      </x:c>
      <x:c r="O110" s="4" t="str">
        <x:v>source_HGG_collection; complete_age_sex; broad_partition_label</x:v>
      </x:c>
      <x:c r="P110" s="6" t="n">
        <x:v>3</x:v>
      </x:c>
      <x:c r="Q110" s="8" t="n">
        <x:v>0.8739578424</x:v>
      </x:c>
      <x:c r="R110" s="8" t="n">
        <x:v>0.7897435897</x:v>
      </x:c>
      <x:c r="S110" s="6" t="n">
        <x:v>1</x:v>
      </x:c>
      <x:c r="T110" s="8" t="n">
        <x:f>(C110-Q110)^2</x:f>
        <x:v>0.01588662549246325</x:v>
      </x:c>
      <x:c r="U110" s="8" t="n">
        <x:f>(C110-R110)^2</x:f>
        <x:v>0.044207758072241934</x:v>
      </x:c>
    </x:row>
    <x:row r="111" ht="28" customHeight="1">
      <x:c r="A111" s="4" t="str">
        <x:v>UCSD-PTGBM-0074_01</x:v>
      </x:c>
      <x:c r="B111" s="4" t="str">
        <x:v>UCSD-PTGBM-0074</x:v>
      </x:c>
      <x:c r="C111" s="6" t="n">
        <x:v>1</x:v>
      </x:c>
      <x:c r="D111" s="4" t="str">
        <x:v>derived_from_published_243_equals_192_plus_51_partition</x:v>
      </x:c>
      <x:c r="E111" s="4"/>
      <x:c r="F111" s="6" t="n">
        <x:v>36</x:v>
      </x:c>
      <x:c r="G111" s="4" t="str">
        <x:v>Male</x:v>
      </x:c>
      <x:c r="H111" s="6" t="n">
        <x:v>1</x:v>
      </x:c>
      <x:c r="I111" s="4" t="str">
        <x:v>Glioblastoma</x:v>
      </x:c>
      <x:c r="J111" s="6" t="n">
        <x:v>0</x:v>
      </x:c>
      <x:c r="K111" s="6" t="n">
        <x:v>111</x:v>
      </x:c>
      <x:c r="L111" s="6"/>
      <x:c r="M111" s="6" t="n">
        <x:v>1</x:v>
      </x:c>
      <x:c r="N111" s="6" t="n">
        <x:v>1</x:v>
      </x:c>
      <x:c r="O111" s="4" t="str">
        <x:v>source_HGG_collection; complete_age_sex; broad_partition_label</x:v>
      </x:c>
      <x:c r="P111" s="6" t="n">
        <x:v>1</x:v>
      </x:c>
      <x:c r="Q111" s="8" t="n">
        <x:v>0.7094929174</x:v>
      </x:c>
      <x:c r="R111" s="8" t="n">
        <x:v>0.7897435897</x:v>
      </x:c>
      <x:c r="S111" s="6" t="n">
        <x:v>1</x:v>
      </x:c>
      <x:c r="T111" s="8" t="n">
        <x:f>(C111-Q111)^2</x:f>
        <x:v>0.08439436504076324</x:v>
      </x:c>
      <x:c r="U111" s="8" t="n">
        <x:f>(C111-R111)^2</x:f>
        <x:v>0.044207758072241934</x:v>
      </x:c>
    </x:row>
    <x:row r="112" ht="28" customHeight="1">
      <x:c r="A112" s="4" t="str">
        <x:v>UCSD-PTGBM-0075_01</x:v>
      </x:c>
      <x:c r="B112" s="4" t="str">
        <x:v>UCSD-PTGBM-0075</x:v>
      </x:c>
      <x:c r="C112" s="6" t="n">
        <x:v>1</x:v>
      </x:c>
      <x:c r="D112" s="4" t="str">
        <x:v>derived_from_published_243_equals_192_plus_51_partition</x:v>
      </x:c>
      <x:c r="E112" s="4"/>
      <x:c r="F112" s="6" t="n">
        <x:v>39</x:v>
      </x:c>
      <x:c r="G112" s="4" t="str">
        <x:v>Male</x:v>
      </x:c>
      <x:c r="H112" s="6" t="n">
        <x:v>1</x:v>
      </x:c>
      <x:c r="I112" s="4" t="str">
        <x:v>Glioblastoma</x:v>
      </x:c>
      <x:c r="J112" s="6" t="n">
        <x:v>0</x:v>
      </x:c>
      <x:c r="K112" s="6" t="n">
        <x:v>112</x:v>
      </x:c>
      <x:c r="L112" s="6"/>
      <x:c r="M112" s="6" t="n">
        <x:v>1</x:v>
      </x:c>
      <x:c r="N112" s="6" t="n">
        <x:v>1</x:v>
      </x:c>
      <x:c r="O112" s="4" t="str">
        <x:v>source_HGG_collection; complete_age_sex; broad_partition_label</x:v>
      </x:c>
      <x:c r="P112" s="6" t="n">
        <x:v>3</x:v>
      </x:c>
      <x:c r="Q112" s="8" t="n">
        <x:v>0.6990204759</x:v>
      </x:c>
      <x:c r="R112" s="8" t="n">
        <x:v>0.7897435897</x:v>
      </x:c>
      <x:c r="S112" s="6" t="n">
        <x:v>1</x:v>
      </x:c>
      <x:c r="T112" s="8" t="n">
        <x:f>(C112-Q112)^2</x:f>
        <x:v>0.09058867392746245</x:v>
      </x:c>
      <x:c r="U112" s="8" t="n">
        <x:f>(C112-R112)^2</x:f>
        <x:v>0.044207758072241934</x:v>
      </x:c>
    </x:row>
    <x:row r="113" ht="28" customHeight="1">
      <x:c r="A113" s="4" t="str">
        <x:v>UCSD-PTGBM-0076_01</x:v>
      </x:c>
      <x:c r="B113" s="4" t="str">
        <x:v>UCSD-PTGBM-0076</x:v>
      </x:c>
      <x:c r="C113" s="6" t="n">
        <x:v>1</x:v>
      </x:c>
      <x:c r="D113" s="4" t="str">
        <x:v>derived_from_published_243_equals_192_plus_51_partition</x:v>
      </x:c>
      <x:c r="E113" s="4"/>
      <x:c r="F113" s="6" t="n">
        <x:v>29</x:v>
      </x:c>
      <x:c r="G113" s="4" t="str">
        <x:v>Female</x:v>
      </x:c>
      <x:c r="H113" s="6" t="n">
        <x:v>0</x:v>
      </x:c>
      <x:c r="I113" s="4" t="str">
        <x:v>Glioblastoma</x:v>
      </x:c>
      <x:c r="J113" s="6" t="n">
        <x:v>0</x:v>
      </x:c>
      <x:c r="K113" s="6" t="n">
        <x:v>113</x:v>
      </x:c>
      <x:c r="L113" s="6"/>
      <x:c r="M113" s="6" t="n">
        <x:v>1</x:v>
      </x:c>
      <x:c r="N113" s="6" t="n">
        <x:v>1</x:v>
      </x:c>
      <x:c r="O113" s="4" t="str">
        <x:v>source_HGG_collection; complete_age_sex; broad_partition_label</x:v>
      </x:c>
      <x:c r="P113" s="6" t="n">
        <x:v>2</x:v>
      </x:c>
      <x:c r="Q113" s="8" t="n">
        <x:v>0.6005325988</x:v>
      </x:c>
      <x:c r="R113" s="8" t="n">
        <x:v>0.7897435897</x:v>
      </x:c>
      <x:c r="S113" s="6" t="n">
        <x:v>1</x:v>
      </x:c>
      <x:c r="T113" s="8" t="n">
        <x:f>(C113-Q113)^2</x:f>
        <x:v>0.15957420462148178</x:v>
      </x:c>
      <x:c r="U113" s="8" t="n">
        <x:f>(C113-R113)^2</x:f>
        <x:v>0.044207758072241934</x:v>
      </x:c>
    </x:row>
    <x:row r="114" ht="28" customHeight="1">
      <x:c r="A114" s="4" t="str">
        <x:v>UCSD-PTGBM-0077_01</x:v>
      </x:c>
      <x:c r="B114" s="4" t="str">
        <x:v>UCSD-PTGBM-0077</x:v>
      </x:c>
      <x:c r="C114" s="6" t="n">
        <x:v>1</x:v>
      </x:c>
      <x:c r="D114" s="4" t="str">
        <x:v>derived_from_published_243_equals_192_plus_51_partition</x:v>
      </x:c>
      <x:c r="E114" s="4"/>
      <x:c r="F114" s="6" t="n">
        <x:v>47</x:v>
      </x:c>
      <x:c r="G114" s="4" t="str">
        <x:v>Male</x:v>
      </x:c>
      <x:c r="H114" s="6" t="n">
        <x:v>1</x:v>
      </x:c>
      <x:c r="I114" s="4" t="str">
        <x:v>Glioblastoma</x:v>
      </x:c>
      <x:c r="J114" s="6" t="n">
        <x:v>0</x:v>
      </x:c>
      <x:c r="K114" s="6" t="n">
        <x:v>114</x:v>
      </x:c>
      <x:c r="L114" s="6"/>
      <x:c r="M114" s="6" t="n">
        <x:v>1</x:v>
      </x:c>
      <x:c r="N114" s="6" t="n">
        <x:v>1</x:v>
      </x:c>
      <x:c r="O114" s="4" t="str">
        <x:v>source_HGG_collection; complete_age_sex; broad_partition_label</x:v>
      </x:c>
      <x:c r="P114" s="6" t="n">
        <x:v>5</x:v>
      </x:c>
      <x:c r="Q114" s="8" t="n">
        <x:v>0.7597511095</x:v>
      </x:c>
      <x:c r="R114" s="8" t="n">
        <x:v>0.7875647668</x:v>
      </x:c>
      <x:c r="S114" s="6" t="n">
        <x:v>1</x:v>
      </x:c>
      <x:c r="T114" s="8" t="n">
        <x:f>(C114-Q114)^2</x:f>
        <x:v>0.05771952938648098</x:v>
      </x:c>
      <x:c r="U114" s="8" t="n">
        <x:f>(C114-R114)^2</x:f>
        <x:v>0.04512872830473839</x:v>
      </x:c>
    </x:row>
    <x:row r="115" ht="28" customHeight="1">
      <x:c r="A115" s="4" t="str">
        <x:v>UCSD-PTGBM-0078_01</x:v>
      </x:c>
      <x:c r="B115" s="4" t="str">
        <x:v>UCSD-PTGBM-0078</x:v>
      </x:c>
      <x:c r="C115" s="6" t="n">
        <x:v>1</x:v>
      </x:c>
      <x:c r="D115" s="4" t="str">
        <x:v>derived_from_published_243_equals_192_plus_51_partition</x:v>
      </x:c>
      <x:c r="E115" s="4"/>
      <x:c r="F115" s="6" t="n">
        <x:v>64</x:v>
      </x:c>
      <x:c r="G115" s="4" t="str">
        <x:v>Female</x:v>
      </x:c>
      <x:c r="H115" s="6" t="n">
        <x:v>0</x:v>
      </x:c>
      <x:c r="I115" s="4" t="str">
        <x:v>Glioblastoma</x:v>
      </x:c>
      <x:c r="J115" s="6" t="n">
        <x:v>0</x:v>
      </x:c>
      <x:c r="K115" s="6" t="n">
        <x:v>115</x:v>
      </x:c>
      <x:c r="L115" s="6"/>
      <x:c r="M115" s="6" t="n">
        <x:v>1</x:v>
      </x:c>
      <x:c r="N115" s="6" t="n">
        <x:v>1</x:v>
      </x:c>
      <x:c r="O115" s="4" t="str">
        <x:v>source_HGG_collection; complete_age_sex; broad_partition_label</x:v>
      </x:c>
      <x:c r="P115" s="6" t="n">
        <x:v>4</x:v>
      </x:c>
      <x:c r="Q115" s="8" t="n">
        <x:v>0.7875467222</x:v>
      </x:c>
      <x:c r="R115" s="8" t="n">
        <x:v>0.793814433</x:v>
      </x:c>
      <x:c r="S115" s="6" t="n">
        <x:v>1</x:v>
      </x:c>
      <x:c r="T115" s="8" t="n">
        <x:f>(C115-Q115)^2</x:f>
        <x:v>0.04513639524796398</x:v>
      </x:c>
      <x:c r="U115" s="8" t="n">
        <x:f>(C115-R115)^2</x:f>
        <x:v>0.04251248803911149</x:v>
      </x:c>
    </x:row>
    <x:row r="116" ht="28" customHeight="1">
      <x:c r="A116" s="4" t="str">
        <x:v>UCSD-PTGBM-0079_01</x:v>
      </x:c>
      <x:c r="B116" s="4" t="str">
        <x:v>UCSD-PTGBM-0079</x:v>
      </x:c>
      <x:c r="C116" s="6" t="n">
        <x:v>1</x:v>
      </x:c>
      <x:c r="D116" s="4" t="str">
        <x:v>derived_from_published_243_equals_192_plus_51_partition</x:v>
      </x:c>
      <x:c r="E116" s="4"/>
      <x:c r="F116" s="6" t="n">
        <x:v>54</x:v>
      </x:c>
      <x:c r="G116" s="4" t="str">
        <x:v>Male</x:v>
      </x:c>
      <x:c r="H116" s="6" t="n">
        <x:v>1</x:v>
      </x:c>
      <x:c r="I116" s="4" t="str">
        <x:v>Glioblastoma</x:v>
      </x:c>
      <x:c r="J116" s="6" t="n">
        <x:v>0</x:v>
      </x:c>
      <x:c r="K116" s="6" t="n">
        <x:v>116</x:v>
      </x:c>
      <x:c r="L116" s="6"/>
      <x:c r="M116" s="6" t="n">
        <x:v>1</x:v>
      </x:c>
      <x:c r="N116" s="6" t="n">
        <x:v>1</x:v>
      </x:c>
      <x:c r="O116" s="4" t="str">
        <x:v>source_HGG_collection; complete_age_sex; broad_partition_label</x:v>
      </x:c>
      <x:c r="P116" s="6" t="n">
        <x:v>3</x:v>
      </x:c>
      <x:c r="Q116" s="8" t="n">
        <x:v>0.8100433983</x:v>
      </x:c>
      <x:c r="R116" s="8" t="n">
        <x:v>0.7897435897</x:v>
      </x:c>
      <x:c r="S116" s="6" t="n">
        <x:v>1</x:v>
      </x:c>
      <x:c r="T116" s="8" t="n">
        <x:f>(C116-Q116)^2</x:f>
        <x:v>0.03608351052941242</x:v>
      </x:c>
      <x:c r="U116" s="8" t="n">
        <x:f>(C116-R116)^2</x:f>
        <x:v>0.044207758072241934</x:v>
      </x:c>
    </x:row>
    <x:row r="117" ht="28" customHeight="1">
      <x:c r="A117" s="4" t="str">
        <x:v>UCSD-PTGBM-0080_01</x:v>
      </x:c>
      <x:c r="B117" s="4" t="str">
        <x:v>UCSD-PTGBM-0080</x:v>
      </x:c>
      <x:c r="C117" s="6" t="n">
        <x:v>1</x:v>
      </x:c>
      <x:c r="D117" s="4" t="str">
        <x:v>derived_from_published_243_equals_192_plus_51_partition</x:v>
      </x:c>
      <x:c r="E117" s="4"/>
      <x:c r="F117" s="6" t="n">
        <x:v>68</x:v>
      </x:c>
      <x:c r="G117" s="4" t="str">
        <x:v>Male</x:v>
      </x:c>
      <x:c r="H117" s="6" t="n">
        <x:v>1</x:v>
      </x:c>
      <x:c r="I117" s="4" t="str">
        <x:v>Glioblastoma</x:v>
      </x:c>
      <x:c r="J117" s="6" t="n">
        <x:v>0</x:v>
      </x:c>
      <x:c r="K117" s="6" t="n">
        <x:v>117</x:v>
      </x:c>
      <x:c r="L117" s="6"/>
      <x:c r="M117" s="6" t="n">
        <x:v>1</x:v>
      </x:c>
      <x:c r="N117" s="6" t="n">
        <x:v>1</x:v>
      </x:c>
      <x:c r="O117" s="4" t="str">
        <x:v>source_HGG_collection; complete_age_sex; broad_partition_label</x:v>
      </x:c>
      <x:c r="P117" s="6" t="n">
        <x:v>5</x:v>
      </x:c>
      <x:c r="Q117" s="8" t="n">
        <x:v>0.8507543161</x:v>
      </x:c>
      <x:c r="R117" s="8" t="n">
        <x:v>0.7875647668</x:v>
      </x:c>
      <x:c r="S117" s="6" t="n">
        <x:v>1</x:v>
      </x:c>
      <x:c r="T117" s="8" t="n">
        <x:f>(C117-Q117)^2</x:f>
        <x:v>0.02227427416277873</x:v>
      </x:c>
      <x:c r="U117" s="8" t="n">
        <x:f>(C117-R117)^2</x:f>
        <x:v>0.04512872830473839</x:v>
      </x:c>
    </x:row>
    <x:row r="118" ht="28" customHeight="1">
      <x:c r="A118" s="4" t="str">
        <x:v>UCSD-PTGBM-0081_01</x:v>
      </x:c>
      <x:c r="B118" s="4" t="str">
        <x:v>UCSD-PTGBM-0081</x:v>
      </x:c>
      <x:c r="C118" s="6" t="n">
        <x:v>0</x:v>
      </x:c>
      <x:c r="D118" s="4" t="str">
        <x:v>explicit_negative_case_list</x:v>
      </x:c>
      <x:c r="E118" s="4" t="str">
        <x:v>NS</x:v>
      </x:c>
      <x:c r="F118" s="6" t="n">
        <x:v>66</x:v>
      </x:c>
      <x:c r="G118" s="4" t="str">
        <x:v>Male</x:v>
      </x:c>
      <x:c r="H118" s="6" t="n">
        <x:v>1</x:v>
      </x:c>
      <x:c r="I118" s="4" t="str">
        <x:v>Glioblastoma</x:v>
      </x:c>
      <x:c r="J118" s="6" t="n">
        <x:v>0</x:v>
      </x:c>
      <x:c r="K118" s="6" t="n">
        <x:v>118</x:v>
      </x:c>
      <x:c r="L118" s="6" t="n">
        <x:v>28</x:v>
      </x:c>
      <x:c r="M118" s="6" t="n">
        <x:v>1</x:v>
      </x:c>
      <x:c r="N118" s="6" t="n">
        <x:v>1</x:v>
      </x:c>
      <x:c r="O118" s="4" t="str">
        <x:v>source_HGG_collection; complete_age_sex; broad_partition_label</x:v>
      </x:c>
      <x:c r="P118" s="6" t="n">
        <x:v>5</x:v>
      </x:c>
      <x:c r="Q118" s="8" t="n">
        <x:v>0.8434881234</x:v>
      </x:c>
      <x:c r="R118" s="8" t="n">
        <x:v>0.7875647668</x:v>
      </x:c>
      <x:c r="S118" s="6" t="n">
        <x:v>1</x:v>
      </x:c>
      <x:c r="T118" s="8" t="n">
        <x:f>(C118-Q118)^2</x:f>
        <x:v>0.7114722143168537</x:v>
      </x:c>
      <x:c r="U118" s="8" t="n">
        <x:f>(C118-R118)^2</x:f>
        <x:v>0.6202582619047383</x:v>
      </x:c>
    </x:row>
    <x:row r="119" ht="28" customHeight="1">
      <x:c r="A119" s="4" t="str">
        <x:v>UCSD-PTGBM-0082_01</x:v>
      </x:c>
      <x:c r="B119" s="4" t="str">
        <x:v>UCSD-PTGBM-0082</x:v>
      </x:c>
      <x:c r="C119" s="6" t="n">
        <x:v>1</x:v>
      </x:c>
      <x:c r="D119" s="4" t="str">
        <x:v>derived_from_published_243_equals_192_plus_51_partition</x:v>
      </x:c>
      <x:c r="E119" s="4"/>
      <x:c r="F119" s="6" t="n">
        <x:v>43</x:v>
      </x:c>
      <x:c r="G119" s="4" t="str">
        <x:v>Male</x:v>
      </x:c>
      <x:c r="H119" s="6" t="n">
        <x:v>1</x:v>
      </x:c>
      <x:c r="I119" s="4" t="str">
        <x:v>Glioblastoma</x:v>
      </x:c>
      <x:c r="J119" s="6" t="n">
        <x:v>0</x:v>
      </x:c>
      <x:c r="K119" s="6" t="n">
        <x:v>119</x:v>
      </x:c>
      <x:c r="L119" s="6"/>
      <x:c r="M119" s="6" t="n">
        <x:v>1</x:v>
      </x:c>
      <x:c r="N119" s="6" t="n">
        <x:v>1</x:v>
      </x:c>
      <x:c r="O119" s="4" t="str">
        <x:v>source_HGG_collection; complete_age_sex; broad_partition_label</x:v>
      </x:c>
      <x:c r="P119" s="6" t="n">
        <x:v>5</x:v>
      </x:c>
      <x:c r="Q119" s="8" t="n">
        <x:v>0.7386732645</x:v>
      </x:c>
      <x:c r="R119" s="8" t="n">
        <x:v>0.7875647668</x:v>
      </x:c>
      <x:c r="S119" s="6" t="n">
        <x:v>1</x:v>
      </x:c>
      <x:c r="T119" s="8" t="n">
        <x:f>(C119-Q119)^2</x:f>
        <x:v>0.06829166268708695</x:v>
      </x:c>
      <x:c r="U119" s="8" t="n">
        <x:f>(C119-R119)^2</x:f>
        <x:v>0.04512872830473839</x:v>
      </x:c>
    </x:row>
    <x:row r="120" ht="28" customHeight="1">
      <x:c r="A120" s="4" t="str">
        <x:v>UCSD-PTGBM-0083_01</x:v>
      </x:c>
      <x:c r="B120" s="4" t="str">
        <x:v>UCSD-PTGBM-0083</x:v>
      </x:c>
      <x:c r="C120" s="6" t="n">
        <x:v>1</x:v>
      </x:c>
      <x:c r="D120" s="4" t="str">
        <x:v>derived_from_published_243_equals_192_plus_51_partition</x:v>
      </x:c>
      <x:c r="E120" s="4"/>
      <x:c r="F120" s="6" t="n">
        <x:v>59</x:v>
      </x:c>
      <x:c r="G120" s="4" t="str">
        <x:v>Male</x:v>
      </x:c>
      <x:c r="H120" s="6" t="n">
        <x:v>1</x:v>
      </x:c>
      <x:c r="I120" s="4" t="str">
        <x:v>Glioblastoma</x:v>
      </x:c>
      <x:c r="J120" s="6" t="n">
        <x:v>0</x:v>
      </x:c>
      <x:c r="K120" s="6" t="n">
        <x:v>120</x:v>
      </x:c>
      <x:c r="L120" s="6"/>
      <x:c r="M120" s="6" t="n">
        <x:v>1</x:v>
      </x:c>
      <x:c r="N120" s="6" t="n">
        <x:v>1</x:v>
      </x:c>
      <x:c r="O120" s="4" t="str">
        <x:v>source_HGG_collection; complete_age_sex; broad_partition_label</x:v>
      </x:c>
      <x:c r="P120" s="6" t="n">
        <x:v>2</x:v>
      </x:c>
      <x:c r="Q120" s="8" t="n">
        <x:v>0.8293868148</x:v>
      </x:c>
      <x:c r="R120" s="8" t="n">
        <x:v>0.7897435897</x:v>
      </x:c>
      <x:c r="S120" s="6" t="n">
        <x:v>1</x:v>
      </x:c>
      <x:c r="T120" s="8" t="n">
        <x:f>(C120-Q120)^2</x:f>
        <x:v>0.029108858964089504</x:v>
      </x:c>
      <x:c r="U120" s="8" t="n">
        <x:f>(C120-R120)^2</x:f>
        <x:v>0.044207758072241934</x:v>
      </x:c>
    </x:row>
    <x:row r="121" ht="28" customHeight="1">
      <x:c r="A121" s="4" t="str">
        <x:v>UCSD-PTGBM-0084_01</x:v>
      </x:c>
      <x:c r="B121" s="4" t="str">
        <x:v>UCSD-PTGBM-0084</x:v>
      </x:c>
      <x:c r="C121" s="6" t="n">
        <x:v>1</x:v>
      </x:c>
      <x:c r="D121" s="4" t="str">
        <x:v>derived_from_published_243_equals_192_plus_51_partition</x:v>
      </x:c>
      <x:c r="E121" s="4"/>
      <x:c r="F121" s="6" t="n">
        <x:v>62</x:v>
      </x:c>
      <x:c r="G121" s="4" t="str">
        <x:v>Male</x:v>
      </x:c>
      <x:c r="H121" s="6" t="n">
        <x:v>1</x:v>
      </x:c>
      <x:c r="I121" s="4" t="str">
        <x:v>Glioblastoma</x:v>
      </x:c>
      <x:c r="J121" s="6" t="n">
        <x:v>0</x:v>
      </x:c>
      <x:c r="K121" s="6" t="n">
        <x:v>121</x:v>
      </x:c>
      <x:c r="L121" s="6"/>
      <x:c r="M121" s="6" t="n">
        <x:v>1</x:v>
      </x:c>
      <x:c r="N121" s="6" t="n">
        <x:v>1</x:v>
      </x:c>
      <x:c r="O121" s="4" t="str">
        <x:v>source_HGG_collection; complete_age_sex; broad_partition_label</x:v>
      </x:c>
      <x:c r="P121" s="6" t="n">
        <x:v>1</x:v>
      </x:c>
      <x:c r="Q121" s="8" t="n">
        <x:v>0.8400736162</x:v>
      </x:c>
      <x:c r="R121" s="8" t="n">
        <x:v>0.7897435897</x:v>
      </x:c>
      <x:c r="S121" s="6" t="n">
        <x:v>1</x:v>
      </x:c>
      <x:c r="T121" s="8" t="n">
        <x:f>(C121-Q121)^2</x:f>
        <x:v>0.02557644823534491</x:v>
      </x:c>
      <x:c r="U121" s="8" t="n">
        <x:f>(C121-R121)^2</x:f>
        <x:v>0.044207758072241934</x:v>
      </x:c>
    </x:row>
    <x:row r="122" ht="28" customHeight="1">
      <x:c r="A122" s="4" t="str">
        <x:v>UCSD-PTGBM-0085_01</x:v>
      </x:c>
      <x:c r="B122" s="4" t="str">
        <x:v>UCSD-PTGBM-0085</x:v>
      </x:c>
      <x:c r="C122" s="6" t="n">
        <x:v>0</x:v>
      </x:c>
      <x:c r="D122" s="4" t="str">
        <x:v>explicit_negative_case_list</x:v>
      </x:c>
      <x:c r="E122" s="4" t="str">
        <x:v>NS</x:v>
      </x:c>
      <x:c r="F122" s="6" t="n">
        <x:v>49</x:v>
      </x:c>
      <x:c r="G122" s="4" t="str">
        <x:v>Male</x:v>
      </x:c>
      <x:c r="H122" s="6" t="n">
        <x:v>1</x:v>
      </x:c>
      <x:c r="I122" s="4" t="str">
        <x:v>Glioblastoma</x:v>
      </x:c>
      <x:c r="J122" s="6" t="n">
        <x:v>0</x:v>
      </x:c>
      <x:c r="K122" s="6" t="n">
        <x:v>122</x:v>
      </x:c>
      <x:c r="L122" s="6" t="n">
        <x:v>29</x:v>
      </x:c>
      <x:c r="M122" s="6" t="n">
        <x:v>1</x:v>
      </x:c>
      <x:c r="N122" s="6" t="n">
        <x:v>1</x:v>
      </x:c>
      <x:c r="O122" s="4" t="str">
        <x:v>source_HGG_collection; complete_age_sex; broad_partition_label</x:v>
      </x:c>
      <x:c r="P122" s="6" t="n">
        <x:v>4</x:v>
      </x:c>
      <x:c r="Q122" s="8" t="n">
        <x:v>0.7970680835</x:v>
      </x:c>
      <x:c r="R122" s="8" t="n">
        <x:v>0.793814433</x:v>
      </x:c>
      <x:c r="S122" s="6" t="n">
        <x:v>1</x:v>
      </x:c>
      <x:c r="T122" s="8" t="n">
        <x:f>(C122-Q122)^2</x:f>
        <x:v>0.6353175297343631</x:v>
      </x:c>
      <x:c r="U122" s="8" t="n">
        <x:f>(C122-R122)^2</x:f>
        <x:v>0.6301413540391114</x:v>
      </x:c>
    </x:row>
    <x:row r="123" ht="28" customHeight="1">
      <x:c r="A123" s="4" t="str">
        <x:v>UCSD-PTGBM-0086_01</x:v>
      </x:c>
      <x:c r="B123" s="4" t="str">
        <x:v>UCSD-PTGBM-0086</x:v>
      </x:c>
      <x:c r="C123" s="6" t="n">
        <x:v>1</x:v>
      </x:c>
      <x:c r="D123" s="4" t="str">
        <x:v>derived_from_published_243_equals_192_plus_51_partition</x:v>
      </x:c>
      <x:c r="E123" s="4"/>
      <x:c r="F123" s="6" t="n">
        <x:v>27</x:v>
      </x:c>
      <x:c r="G123" s="4" t="str">
        <x:v>Male</x:v>
      </x:c>
      <x:c r="H123" s="6" t="n">
        <x:v>1</x:v>
      </x:c>
      <x:c r="I123" s="4" t="str">
        <x:v>Glioblastoma</x:v>
      </x:c>
      <x:c r="J123" s="6" t="n">
        <x:v>0</x:v>
      </x:c>
      <x:c r="K123" s="6" t="n">
        <x:v>123</x:v>
      </x:c>
      <x:c r="L123" s="6"/>
      <x:c r="M123" s="6" t="n">
        <x:v>1</x:v>
      </x:c>
      <x:c r="N123" s="6" t="n">
        <x:v>1</x:v>
      </x:c>
      <x:c r="O123" s="4" t="str">
        <x:v>source_HGG_collection; complete_age_sex; broad_partition_label</x:v>
      </x:c>
      <x:c r="P123" s="6" t="n">
        <x:v>2</x:v>
      </x:c>
      <x:c r="Q123" s="8" t="n">
        <x:v>0.7094167434</x:v>
      </x:c>
      <x:c r="R123" s="8" t="n">
        <x:v>0.7897435897</x:v>
      </x:c>
      <x:c r="S123" s="6" t="n">
        <x:v>1</x:v>
      </x:c>
      <x:c r="T123" s="8" t="n">
        <x:f>(C123-Q123)^2</x:f>
        <x:v>0.08443862901626141</x:v>
      </x:c>
      <x:c r="U123" s="8" t="n">
        <x:f>(C123-R123)^2</x:f>
        <x:v>0.044207758072241934</x:v>
      </x:c>
    </x:row>
    <x:row r="124" ht="28" customHeight="1">
      <x:c r="A124" s="4" t="str">
        <x:v>UCSD-PTGBM-0087_01</x:v>
      </x:c>
      <x:c r="B124" s="4" t="str">
        <x:v>UCSD-PTGBM-0087</x:v>
      </x:c>
      <x:c r="C124" s="6" t="n">
        <x:v>1</x:v>
      </x:c>
      <x:c r="D124" s="4" t="str">
        <x:v>derived_from_published_243_equals_192_plus_51_partition</x:v>
      </x:c>
      <x:c r="E124" s="4"/>
      <x:c r="F124" s="6" t="n">
        <x:v>62</x:v>
      </x:c>
      <x:c r="G124" s="4" t="str">
        <x:v>Male</x:v>
      </x:c>
      <x:c r="H124" s="6" t="n">
        <x:v>1</x:v>
      </x:c>
      <x:c r="I124" s="4" t="str">
        <x:v>Glioblastoma</x:v>
      </x:c>
      <x:c r="J124" s="6" t="n">
        <x:v>0</x:v>
      </x:c>
      <x:c r="K124" s="6" t="n">
        <x:v>124</x:v>
      </x:c>
      <x:c r="L124" s="6"/>
      <x:c r="M124" s="6" t="n">
        <x:v>1</x:v>
      </x:c>
      <x:c r="N124" s="6" t="n">
        <x:v>1</x:v>
      </x:c>
      <x:c r="O124" s="4" t="str">
        <x:v>source_HGG_collection; complete_age_sex; broad_partition_label</x:v>
      </x:c>
      <x:c r="P124" s="6" t="n">
        <x:v>2</x:v>
      </x:c>
      <x:c r="Q124" s="8" t="n">
        <x:v>0.838330273</x:v>
      </x:c>
      <x:c r="R124" s="8" t="n">
        <x:v>0.7897435897</x:v>
      </x:c>
      <x:c r="S124" s="6" t="n">
        <x:v>1</x:v>
      </x:c>
      <x:c r="T124" s="8" t="n">
        <x:f>(C124-Q124)^2</x:f>
        <x:v>0.026137100628254542</x:v>
      </x:c>
      <x:c r="U124" s="8" t="n">
        <x:f>(C124-R124)^2</x:f>
        <x:v>0.044207758072241934</x:v>
      </x:c>
    </x:row>
    <x:row r="125" ht="28" customHeight="1">
      <x:c r="A125" s="4" t="str">
        <x:v>UCSD-PTGBM-0088_01</x:v>
      </x:c>
      <x:c r="B125" s="4" t="str">
        <x:v>UCSD-PTGBM-0088</x:v>
      </x:c>
      <x:c r="C125" s="6" t="n">
        <x:v>1</x:v>
      </x:c>
      <x:c r="D125" s="4" t="str">
        <x:v>derived_from_published_243_equals_192_plus_51_partition</x:v>
      </x:c>
      <x:c r="E125" s="4"/>
      <x:c r="F125" s="6" t="n">
        <x:v>81</x:v>
      </x:c>
      <x:c r="G125" s="4" t="str">
        <x:v>Male</x:v>
      </x:c>
      <x:c r="H125" s="6" t="n">
        <x:v>1</x:v>
      </x:c>
      <x:c r="I125" s="4" t="str">
        <x:v>Glioblastoma</x:v>
      </x:c>
      <x:c r="J125" s="6" t="n">
        <x:v>0</x:v>
      </x:c>
      <x:c r="K125" s="6" t="n">
        <x:v>125</x:v>
      </x:c>
      <x:c r="L125" s="6"/>
      <x:c r="M125" s="6" t="n">
        <x:v>1</x:v>
      </x:c>
      <x:c r="N125" s="6" t="n">
        <x:v>1</x:v>
      </x:c>
      <x:c r="O125" s="4" t="str">
        <x:v>source_HGG_collection; complete_age_sex; broad_partition_label</x:v>
      </x:c>
      <x:c r="P125" s="6" t="n">
        <x:v>2</x:v>
      </x:c>
      <x:c r="Q125" s="8" t="n">
        <x:v>0.8864310145</x:v>
      </x:c>
      <x:c r="R125" s="8" t="n">
        <x:v>0.7897435897</x:v>
      </x:c>
      <x:c r="S125" s="6" t="n">
        <x:v>1</x:v>
      </x:c>
      <x:c r="T125" s="8" t="n">
        <x:f>(C125-Q125)^2</x:f>
        <x:v>0.012897914467499222</x:v>
      </x:c>
      <x:c r="U125" s="8" t="n">
        <x:f>(C125-R125)^2</x:f>
        <x:v>0.044207758072241934</x:v>
      </x:c>
    </x:row>
    <x:row r="126" ht="28" customHeight="1">
      <x:c r="A126" s="4" t="str">
        <x:v>UCSD-PTGBM-0089_01</x:v>
      </x:c>
      <x:c r="B126" s="4" t="str">
        <x:v>UCSD-PTGBM-0089</x:v>
      </x:c>
      <x:c r="C126" s="6" t="n">
        <x:v>1</x:v>
      </x:c>
      <x:c r="D126" s="4" t="str">
        <x:v>derived_from_published_243_equals_192_plus_51_partition</x:v>
      </x:c>
      <x:c r="E126" s="4"/>
      <x:c r="F126" s="6" t="n">
        <x:v>73</x:v>
      </x:c>
      <x:c r="G126" s="4" t="str">
        <x:v>Female</x:v>
      </x:c>
      <x:c r="H126" s="6" t="n">
        <x:v>0</x:v>
      </x:c>
      <x:c r="I126" s="4" t="str">
        <x:v>Glioblastoma</x:v>
      </x:c>
      <x:c r="J126" s="6" t="n">
        <x:v>0</x:v>
      </x:c>
      <x:c r="K126" s="6" t="n">
        <x:v>126</x:v>
      </x:c>
      <x:c r="L126" s="6"/>
      <x:c r="M126" s="6" t="n">
        <x:v>1</x:v>
      </x:c>
      <x:c r="N126" s="6" t="n">
        <x:v>1</x:v>
      </x:c>
      <x:c r="O126" s="4" t="str">
        <x:v>source_HGG_collection; complete_age_sex; broad_partition_label</x:v>
      </x:c>
      <x:c r="P126" s="6" t="n">
        <x:v>5</x:v>
      </x:c>
      <x:c r="Q126" s="8" t="n">
        <x:v>0.8574057516</x:v>
      </x:c>
      <x:c r="R126" s="8" t="n">
        <x:v>0.7875647668</x:v>
      </x:c>
      <x:c r="S126" s="6" t="n">
        <x:v>1</x:v>
      </x:c>
      <x:c r="T126" s="8" t="n">
        <x:f>(C126-Q126)^2</x:f>
        <x:v>0.020333119676760904</x:v>
      </x:c>
      <x:c r="U126" s="8" t="n">
        <x:f>(C126-R126)^2</x:f>
        <x:v>0.04512872830473839</x:v>
      </x:c>
    </x:row>
    <x:row r="127" ht="28" customHeight="1">
      <x:c r="A127" s="4" t="str">
        <x:v>UCSD-PTGBM-0090_01</x:v>
      </x:c>
      <x:c r="B127" s="4" t="str">
        <x:v>UCSD-PTGBM-0090</x:v>
      </x:c>
      <x:c r="C127" s="6" t="n">
        <x:v>1</x:v>
      </x:c>
      <x:c r="D127" s="4" t="str">
        <x:v>derived_from_published_243_equals_192_plus_51_partition</x:v>
      </x:c>
      <x:c r="E127" s="4"/>
      <x:c r="F127" s="6" t="n">
        <x:v>52</x:v>
      </x:c>
      <x:c r="G127" s="4" t="str">
        <x:v>Male</x:v>
      </x:c>
      <x:c r="H127" s="6" t="n">
        <x:v>1</x:v>
      </x:c>
      <x:c r="I127" s="4" t="str">
        <x:v>Glioblastoma</x:v>
      </x:c>
      <x:c r="J127" s="6" t="n">
        <x:v>0</x:v>
      </x:c>
      <x:c r="K127" s="6" t="n">
        <x:v>127</x:v>
      </x:c>
      <x:c r="L127" s="6"/>
      <x:c r="M127" s="6" t="n">
        <x:v>1</x:v>
      </x:c>
      <x:c r="N127" s="6" t="n">
        <x:v>1</x:v>
      </x:c>
      <x:c r="O127" s="4" t="str">
        <x:v>source_HGG_collection; complete_age_sex; broad_partition_label</x:v>
      </x:c>
      <x:c r="P127" s="6" t="n">
        <x:v>2</x:v>
      </x:c>
      <x:c r="Q127" s="8" t="n">
        <x:v>0.8069989926</x:v>
      </x:c>
      <x:c r="R127" s="8" t="n">
        <x:v>0.7897435897</x:v>
      </x:c>
      <x:c r="S127" s="6" t="n">
        <x:v>1</x:v>
      </x:c>
      <x:c r="T127" s="8" t="n">
        <x:f>(C127-Q127)^2</x:f>
        <x:v>0.03724938885741487</x:v>
      </x:c>
      <x:c r="U127" s="8" t="n">
        <x:f>(C127-R127)^2</x:f>
        <x:v>0.044207758072241934</x:v>
      </x:c>
    </x:row>
    <x:row r="128" ht="28" customHeight="1">
      <x:c r="A128" s="4" t="str">
        <x:v>UCSD-PTGBM-0091_01</x:v>
      </x:c>
      <x:c r="B128" s="4" t="str">
        <x:v>UCSD-PTGBM-0091</x:v>
      </x:c>
      <x:c r="C128" s="6" t="n">
        <x:v>0</x:v>
      </x:c>
      <x:c r="D128" s="4" t="str">
        <x:v>explicit_negative_case_list</x:v>
      </x:c>
      <x:c r="E128" s="4" t="str">
        <x:v>NS</x:v>
      </x:c>
      <x:c r="F128" s="6" t="n">
        <x:v>56</x:v>
      </x:c>
      <x:c r="G128" s="4" t="str">
        <x:v>Male</x:v>
      </x:c>
      <x:c r="H128" s="6" t="n">
        <x:v>1</x:v>
      </x:c>
      <x:c r="I128" s="4" t="str">
        <x:v>Glioblastoma</x:v>
      </x:c>
      <x:c r="J128" s="6" t="n">
        <x:v>0</x:v>
      </x:c>
      <x:c r="K128" s="6" t="n">
        <x:v>128</x:v>
      </x:c>
      <x:c r="L128" s="6" t="n">
        <x:v>30</x:v>
      </x:c>
      <x:c r="M128" s="6" t="n">
        <x:v>1</x:v>
      </x:c>
      <x:c r="N128" s="6" t="n">
        <x:v>1</x:v>
      </x:c>
      <x:c r="O128" s="4" t="str">
        <x:v>source_HGG_collection; complete_age_sex; broad_partition_label</x:v>
      </x:c>
      <x:c r="P128" s="6" t="n">
        <x:v>4</x:v>
      </x:c>
      <x:c r="Q128" s="8" t="n">
        <x:v>0.8264913134</x:v>
      </x:c>
      <x:c r="R128" s="8" t="n">
        <x:v>0.793814433</x:v>
      </x:c>
      <x:c r="S128" s="6" t="n">
        <x:v>1</x:v>
      </x:c>
      <x:c r="T128" s="8" t="n">
        <x:f>(C128-Q128)^2</x:f>
        <x:v>0.683087891125657</x:v>
      </x:c>
      <x:c r="U128" s="8" t="n">
        <x:f>(C128-R128)^2</x:f>
        <x:v>0.6301413540391114</x:v>
      </x:c>
    </x:row>
    <x:row r="129" ht="28" customHeight="1">
      <x:c r="A129" s="4" t="str">
        <x:v>UCSD-PTGBM-0092_01</x:v>
      </x:c>
      <x:c r="B129" s="4" t="str">
        <x:v>UCSD-PTGBM-0092</x:v>
      </x:c>
      <x:c r="C129" s="6" t="n">
        <x:v>1</x:v>
      </x:c>
      <x:c r="D129" s="4" t="str">
        <x:v>derived_from_published_243_equals_192_plus_51_partition</x:v>
      </x:c>
      <x:c r="E129" s="4"/>
      <x:c r="F129" s="6" t="n">
        <x:v>53</x:v>
      </x:c>
      <x:c r="G129" s="4" t="str">
        <x:v>Male</x:v>
      </x:c>
      <x:c r="H129" s="6" t="n">
        <x:v>1</x:v>
      </x:c>
      <x:c r="I129" s="4" t="str">
        <x:v>Glioblastoma</x:v>
      </x:c>
      <x:c r="J129" s="6" t="n">
        <x:v>0</x:v>
      </x:c>
      <x:c r="K129" s="6" t="n">
        <x:v>129</x:v>
      </x:c>
      <x:c r="L129" s="6"/>
      <x:c r="M129" s="6" t="n">
        <x:v>1</x:v>
      </x:c>
      <x:c r="N129" s="6" t="n">
        <x:v>1</x:v>
      </x:c>
      <x:c r="O129" s="4" t="str">
        <x:v>source_HGG_collection; complete_age_sex; broad_partition_label</x:v>
      </x:c>
      <x:c r="P129" s="6" t="n">
        <x:v>1</x:v>
      </x:c>
      <x:c r="Q129" s="8" t="n">
        <x:v>0.8011779426</x:v>
      </x:c>
      <x:c r="R129" s="8" t="n">
        <x:v>0.7897435897</x:v>
      </x:c>
      <x:c r="S129" s="6" t="n">
        <x:v>1</x:v>
      </x:c>
      <x:c r="T129" s="8" t="n">
        <x:f>(C129-Q129)^2</x:f>
        <x:v>0.039530210508768905</x:v>
      </x:c>
      <x:c r="U129" s="8" t="n">
        <x:f>(C129-R129)^2</x:f>
        <x:v>0.044207758072241934</x:v>
      </x:c>
    </x:row>
    <x:row r="130" ht="28" customHeight="1">
      <x:c r="A130" s="4" t="str">
        <x:v>UCSD-PTGBM-0093_01</x:v>
      </x:c>
      <x:c r="B130" s="4" t="str">
        <x:v>UCSD-PTGBM-0093</x:v>
      </x:c>
      <x:c r="C130" s="6" t="n">
        <x:v>1</x:v>
      </x:c>
      <x:c r="D130" s="4" t="str">
        <x:v>derived_from_published_243_equals_192_plus_51_partition</x:v>
      </x:c>
      <x:c r="E130" s="4"/>
      <x:c r="F130" s="6" t="n">
        <x:v>56</x:v>
      </x:c>
      <x:c r="G130" s="4" t="str">
        <x:v>Male</x:v>
      </x:c>
      <x:c r="H130" s="6" t="n">
        <x:v>1</x:v>
      </x:c>
      <x:c r="I130" s="4" t="str">
        <x:v>Glioblastoma</x:v>
      </x:c>
      <x:c r="J130" s="6" t="n">
        <x:v>0</x:v>
      </x:c>
      <x:c r="K130" s="6" t="n">
        <x:v>130</x:v>
      </x:c>
      <x:c r="L130" s="6"/>
      <x:c r="M130" s="6" t="n">
        <x:v>1</x:v>
      </x:c>
      <x:c r="N130" s="6" t="n">
        <x:v>1</x:v>
      </x:c>
      <x:c r="O130" s="4" t="str">
        <x:v>source_HGG_collection; complete_age_sex; broad_partition_label</x:v>
      </x:c>
      <x:c r="P130" s="6" t="n">
        <x:v>5</x:v>
      </x:c>
      <x:c r="Q130" s="8" t="n">
        <x:v>0.8027918646</x:v>
      </x:c>
      <x:c r="R130" s="8" t="n">
        <x:v>0.7875647668</x:v>
      </x:c>
      <x:c r="S130" s="6" t="n">
        <x:v>1</x:v>
      </x:c>
      <x:c r="T130" s="8" t="n">
        <x:f>(C130-Q130)^2</x:f>
        <x:v>0.038891048667944746</x:v>
      </x:c>
      <x:c r="U130" s="8" t="n">
        <x:f>(C130-R130)^2</x:f>
        <x:v>0.04512872830473839</x:v>
      </x:c>
    </x:row>
    <x:row r="131" ht="28" customHeight="1">
      <x:c r="A131" s="4" t="str">
        <x:v>UCSD-PTGBM-0094_01</x:v>
      </x:c>
      <x:c r="B131" s="4" t="str">
        <x:v>UCSD-PTGBM-0094</x:v>
      </x:c>
      <x:c r="C131" s="6" t="n">
        <x:v>1</x:v>
      </x:c>
      <x:c r="D131" s="4" t="str">
        <x:v>derived_from_published_243_equals_192_plus_51_partition</x:v>
      </x:c>
      <x:c r="E131" s="4"/>
      <x:c r="F131" s="6" t="n">
        <x:v>52</x:v>
      </x:c>
      <x:c r="G131" s="4" t="str">
        <x:v>Male</x:v>
      </x:c>
      <x:c r="H131" s="6" t="n">
        <x:v>1</x:v>
      </x:c>
      <x:c r="I131" s="4" t="str">
        <x:v>Glioblastoma</x:v>
      </x:c>
      <x:c r="J131" s="6" t="n">
        <x:v>0</x:v>
      </x:c>
      <x:c r="K131" s="6" t="n">
        <x:v>131</x:v>
      </x:c>
      <x:c r="L131" s="6"/>
      <x:c r="M131" s="6" t="n">
        <x:v>1</x:v>
      </x:c>
      <x:c r="N131" s="6" t="n">
        <x:v>1</x:v>
      </x:c>
      <x:c r="O131" s="4" t="str">
        <x:v>source_HGG_collection; complete_age_sex; broad_partition_label</x:v>
      </x:c>
      <x:c r="P131" s="6" t="n">
        <x:v>3</x:v>
      </x:c>
      <x:c r="Q131" s="8" t="n">
        <x:v>0.7972624449</x:v>
      </x:c>
      <x:c r="R131" s="8" t="n">
        <x:v>0.7897435897</x:v>
      </x:c>
      <x:c r="S131" s="6" t="n">
        <x:v>1</x:v>
      </x:c>
      <x:c r="T131" s="8" t="n">
        <x:f>(C131-Q131)^2</x:f>
        <x:v>0.04110251624792555</x:v>
      </x:c>
      <x:c r="U131" s="8" t="n">
        <x:f>(C131-R131)^2</x:f>
        <x:v>0.044207758072241934</x:v>
      </x:c>
    </x:row>
    <x:row r="132" ht="28" customHeight="1">
      <x:c r="A132" s="4" t="str">
        <x:v>UCSD-PTGBM-0095_01</x:v>
      </x:c>
      <x:c r="B132" s="4" t="str">
        <x:v>UCSD-PTGBM-0095</x:v>
      </x:c>
      <x:c r="C132" s="6" t="n">
        <x:v>1</x:v>
      </x:c>
      <x:c r="D132" s="4" t="str">
        <x:v>derived_from_published_243_equals_192_plus_51_partition</x:v>
      </x:c>
      <x:c r="E132" s="4"/>
      <x:c r="F132" s="6" t="n">
        <x:v>58</x:v>
      </x:c>
      <x:c r="G132" s="4" t="str">
        <x:v>Male</x:v>
      </x:c>
      <x:c r="H132" s="6" t="n">
        <x:v>1</x:v>
      </x:c>
      <x:c r="I132" s="4" t="str">
        <x:v>Glioblastoma</x:v>
      </x:c>
      <x:c r="J132" s="6" t="n">
        <x:v>0</x:v>
      </x:c>
      <x:c r="K132" s="6" t="n">
        <x:v>132</x:v>
      </x:c>
      <x:c r="L132" s="6"/>
      <x:c r="M132" s="6" t="n">
        <x:v>1</x:v>
      </x:c>
      <x:c r="N132" s="6" t="n">
        <x:v>1</x:v>
      </x:c>
      <x:c r="O132" s="4" t="str">
        <x:v>source_HGG_collection; complete_age_sex; broad_partition_label</x:v>
      </x:c>
      <x:c r="P132" s="6" t="n">
        <x:v>1</x:v>
      </x:c>
      <x:c r="Q132" s="8" t="n">
        <x:v>0.8236031225</x:v>
      </x:c>
      <x:c r="R132" s="8" t="n">
        <x:v>0.7897435897</x:v>
      </x:c>
      <x:c r="S132" s="6" t="n">
        <x:v>1</x:v>
      </x:c>
      <x:c r="T132" s="8" t="n">
        <x:f>(C132-Q132)^2</x:f>
        <x:v>0.031115858391750004</x:v>
      </x:c>
      <x:c r="U132" s="8" t="n">
        <x:f>(C132-R132)^2</x:f>
        <x:v>0.044207758072241934</x:v>
      </x:c>
    </x:row>
    <x:row r="133" ht="28" customHeight="1">
      <x:c r="A133" s="4" t="str">
        <x:v>UCSD-PTGBM-0096_01</x:v>
      </x:c>
      <x:c r="B133" s="4" t="str">
        <x:v>UCSD-PTGBM-0096</x:v>
      </x:c>
      <x:c r="C133" s="6" t="n">
        <x:v>1</x:v>
      </x:c>
      <x:c r="D133" s="4" t="str">
        <x:v>derived_from_published_243_equals_192_plus_51_partition</x:v>
      </x:c>
      <x:c r="E133" s="4"/>
      <x:c r="F133" s="6" t="n">
        <x:v>64</x:v>
      </x:c>
      <x:c r="G133" s="4" t="str">
        <x:v>Male</x:v>
      </x:c>
      <x:c r="H133" s="6" t="n">
        <x:v>1</x:v>
      </x:c>
      <x:c r="I133" s="4" t="str">
        <x:v>Glioblastoma</x:v>
      </x:c>
      <x:c r="J133" s="6" t="n">
        <x:v>0</x:v>
      </x:c>
      <x:c r="K133" s="6" t="n">
        <x:v>133</x:v>
      </x:c>
      <x:c r="L133" s="6"/>
      <x:c r="M133" s="6" t="n">
        <x:v>1</x:v>
      </x:c>
      <x:c r="N133" s="6" t="n">
        <x:v>1</x:v>
      </x:c>
      <x:c r="O133" s="4" t="str">
        <x:v>source_HGG_collection; complete_age_sex; broad_partition_label</x:v>
      </x:c>
      <x:c r="P133" s="6" t="n">
        <x:v>2</x:v>
      </x:c>
      <x:c r="Q133" s="8" t="n">
        <x:v>0.8440797775</x:v>
      </x:c>
      <x:c r="R133" s="8" t="n">
        <x:v>0.7897435897</x:v>
      </x:c>
      <x:c r="S133" s="6" t="n">
        <x:v>1</x:v>
      </x:c>
      <x:c r="T133" s="8" t="n">
        <x:f>(C133-Q133)^2</x:f>
        <x:v>0.024311115784449517</x:v>
      </x:c>
      <x:c r="U133" s="8" t="n">
        <x:f>(C133-R133)^2</x:f>
        <x:v>0.044207758072241934</x:v>
      </x:c>
    </x:row>
    <x:row r="134" ht="28" customHeight="1">
      <x:c r="A134" s="4" t="str">
        <x:v>UCSD-PTGBM-0097_01</x:v>
      </x:c>
      <x:c r="B134" s="4" t="str">
        <x:v>UCSD-PTGBM-0097</x:v>
      </x:c>
      <x:c r="C134" s="6" t="n">
        <x:v>1</x:v>
      </x:c>
      <x:c r="D134" s="4" t="str">
        <x:v>derived_from_published_243_equals_192_plus_51_partition</x:v>
      </x:c>
      <x:c r="E134" s="4"/>
      <x:c r="F134" s="6" t="n">
        <x:v>71</x:v>
      </x:c>
      <x:c r="G134" s="4" t="str">
        <x:v>Male</x:v>
      </x:c>
      <x:c r="H134" s="6" t="n">
        <x:v>1</x:v>
      </x:c>
      <x:c r="I134" s="4" t="str">
        <x:v>Glioblastoma</x:v>
      </x:c>
      <x:c r="J134" s="6" t="n">
        <x:v>0</x:v>
      </x:c>
      <x:c r="K134" s="6" t="n">
        <x:v>134</x:v>
      </x:c>
      <x:c r="L134" s="6"/>
      <x:c r="M134" s="6" t="n">
        <x:v>1</x:v>
      </x:c>
      <x:c r="N134" s="6" t="n">
        <x:v>1</x:v>
      </x:c>
      <x:c r="O134" s="4" t="str">
        <x:v>source_HGG_collection; complete_age_sex; broad_partition_label</x:v>
      </x:c>
      <x:c r="P134" s="6" t="n">
        <x:v>4</x:v>
      </x:c>
      <x:c r="Q134" s="8" t="n">
        <x:v>0.8780724534</x:v>
      </x:c>
      <x:c r="R134" s="8" t="n">
        <x:v>0.793814433</x:v>
      </x:c>
      <x:c r="S134" s="6" t="n">
        <x:v>1</x:v>
      </x:c>
      <x:c r="T134" s="8" t="n">
        <x:f>(C134-Q134)^2</x:f>
        <x:v>0.014866326619895183</x:v>
      </x:c>
      <x:c r="U134" s="8" t="n">
        <x:f>(C134-R134)^2</x:f>
        <x:v>0.04251248803911149</x:v>
      </x:c>
    </x:row>
    <x:row r="135" ht="28" customHeight="1">
      <x:c r="A135" s="4" t="str">
        <x:v>UCSD-PTGBM-0098_01</x:v>
      </x:c>
      <x:c r="B135" s="4" t="str">
        <x:v>UCSD-PTGBM-0098</x:v>
      </x:c>
      <x:c r="C135" s="6" t="n">
        <x:v>1</x:v>
      </x:c>
      <x:c r="D135" s="4" t="str">
        <x:v>derived_from_published_243_equals_192_plus_51_partition</x:v>
      </x:c>
      <x:c r="E135" s="4"/>
      <x:c r="F135" s="6" t="n">
        <x:v>76</x:v>
      </x:c>
      <x:c r="G135" s="4" t="str">
        <x:v>Male</x:v>
      </x:c>
      <x:c r="H135" s="6" t="n">
        <x:v>1</x:v>
      </x:c>
      <x:c r="I135" s="4" t="str">
        <x:v>Glioblastoma</x:v>
      </x:c>
      <x:c r="J135" s="6" t="n">
        <x:v>0</x:v>
      </x:c>
      <x:c r="K135" s="6" t="n">
        <x:v>135</x:v>
      </x:c>
      <x:c r="L135" s="6"/>
      <x:c r="M135" s="6" t="n">
        <x:v>1</x:v>
      </x:c>
      <x:c r="N135" s="6" t="n">
        <x:v>1</x:v>
      </x:c>
      <x:c r="O135" s="4" t="str">
        <x:v>source_HGG_collection; complete_age_sex; broad_partition_label</x:v>
      </x:c>
      <x:c r="P135" s="6" t="n">
        <x:v>4</x:v>
      </x:c>
      <x:c r="Q135" s="8" t="n">
        <x:v>0.8920719752</x:v>
      </x:c>
      <x:c r="R135" s="8" t="n">
        <x:v>0.793814433</x:v>
      </x:c>
      <x:c r="S135" s="6" t="n">
        <x:v>1</x:v>
      </x:c>
      <x:c r="T135" s="8" t="n">
        <x:f>(C135-Q135)^2</x:f>
        <x:v>0.011648458537229407</x:v>
      </x:c>
      <x:c r="U135" s="8" t="n">
        <x:f>(C135-R135)^2</x:f>
        <x:v>0.04251248803911149</x:v>
      </x:c>
    </x:row>
    <x:row r="136" ht="28" customHeight="1">
      <x:c r="A136" s="4" t="str">
        <x:v>UCSD-PTGBM-0099_01</x:v>
      </x:c>
      <x:c r="B136" s="4" t="str">
        <x:v>UCSD-PTGBM-0099</x:v>
      </x:c>
      <x:c r="C136" s="6" t="n">
        <x:v>1</x:v>
      </x:c>
      <x:c r="D136" s="4" t="str">
        <x:v>derived_from_published_243_equals_192_plus_51_partition</x:v>
      </x:c>
      <x:c r="E136" s="4"/>
      <x:c r="F136" s="6" t="n">
        <x:v>67</x:v>
      </x:c>
      <x:c r="G136" s="4" t="str">
        <x:v>Male</x:v>
      </x:c>
      <x:c r="H136" s="6" t="n">
        <x:v>1</x:v>
      </x:c>
      <x:c r="I136" s="4" t="str">
        <x:v>Glioblastoma</x:v>
      </x:c>
      <x:c r="J136" s="6" t="n">
        <x:v>0</x:v>
      </x:c>
      <x:c r="K136" s="6" t="n">
        <x:v>136</x:v>
      </x:c>
      <x:c r="L136" s="6"/>
      <x:c r="M136" s="6" t="n">
        <x:v>1</x:v>
      </x:c>
      <x:c r="N136" s="6" t="n">
        <x:v>1</x:v>
      </x:c>
      <x:c r="O136" s="4" t="str">
        <x:v>source_HGG_collection; complete_age_sex; broad_partition_label</x:v>
      </x:c>
      <x:c r="P136" s="6" t="n">
        <x:v>4</x:v>
      </x:c>
      <x:c r="Q136" s="8" t="n">
        <x:v>0.865771567</x:v>
      </x:c>
      <x:c r="R136" s="8" t="n">
        <x:v>0.793814433</x:v>
      </x:c>
      <x:c r="S136" s="6" t="n">
        <x:v>1</x:v>
      </x:c>
      <x:c r="T136" s="8" t="n">
        <x:f>(C136-Q136)^2</x:f>
        <x:v>0.018017272225635483</x:v>
      </x:c>
      <x:c r="U136" s="8" t="n">
        <x:f>(C136-R136)^2</x:f>
        <x:v>0.04251248803911149</x:v>
      </x:c>
    </x:row>
    <x:row r="137" ht="28" customHeight="1">
      <x:c r="A137" s="4" t="str">
        <x:v>UCSD-PTGBM-0100_01</x:v>
      </x:c>
      <x:c r="B137" s="4" t="str">
        <x:v>UCSD-PTGBM-0100</x:v>
      </x:c>
      <x:c r="C137" s="6" t="n">
        <x:v>1</x:v>
      </x:c>
      <x:c r="D137" s="4" t="str">
        <x:v>derived_from_published_243_equals_192_plus_51_partition</x:v>
      </x:c>
      <x:c r="E137" s="4"/>
      <x:c r="F137" s="6" t="n">
        <x:v>61</x:v>
      </x:c>
      <x:c r="G137" s="4" t="str">
        <x:v>Female</x:v>
      </x:c>
      <x:c r="H137" s="6" t="n">
        <x:v>0</x:v>
      </x:c>
      <x:c r="I137" s="4" t="str">
        <x:v>Glioblastoma</x:v>
      </x:c>
      <x:c r="J137" s="6" t="n">
        <x:v>0</x:v>
      </x:c>
      <x:c r="K137" s="6" t="n">
        <x:v>137</x:v>
      </x:c>
      <x:c r="L137" s="6"/>
      <x:c r="M137" s="6" t="n">
        <x:v>1</x:v>
      </x:c>
      <x:c r="N137" s="6" t="n">
        <x:v>1</x:v>
      </x:c>
      <x:c r="O137" s="4" t="str">
        <x:v>source_HGG_collection; complete_age_sex; broad_partition_label</x:v>
      </x:c>
      <x:c r="P137" s="6" t="n">
        <x:v>5</x:v>
      </x:c>
      <x:c r="Q137" s="8" t="n">
        <x:v>0.8111062429</x:v>
      </x:c>
      <x:c r="R137" s="8" t="n">
        <x:v>0.7875647668</x:v>
      </x:c>
      <x:c r="S137" s="6" t="n">
        <x:v>1</x:v>
      </x:c>
      <x:c r="T137" s="8" t="n">
        <x:f>(C137-Q137)^2</x:f>
        <x:v>0.0356808514713538</x:v>
      </x:c>
      <x:c r="U137" s="8" t="n">
        <x:f>(C137-R137)^2</x:f>
        <x:v>0.04512872830473839</x:v>
      </x:c>
    </x:row>
    <x:row r="138" ht="28" customHeight="1">
      <x:c r="A138" s="4" t="str">
        <x:v>UCSD-PTGBM-0101_01</x:v>
      </x:c>
      <x:c r="B138" s="4" t="str">
        <x:v>UCSD-PTGBM-0101</x:v>
      </x:c>
      <x:c r="C138" s="6" t="n">
        <x:v>1</x:v>
      </x:c>
      <x:c r="D138" s="4" t="str">
        <x:v>derived_from_published_243_equals_192_plus_51_partition</x:v>
      </x:c>
      <x:c r="E138" s="4"/>
      <x:c r="F138" s="6" t="n">
        <x:v>88</x:v>
      </x:c>
      <x:c r="G138" s="4" t="str">
        <x:v>Female</x:v>
      </x:c>
      <x:c r="H138" s="6" t="n">
        <x:v>0</x:v>
      </x:c>
      <x:c r="I138" s="4" t="str">
        <x:v>Glioblastoma</x:v>
      </x:c>
      <x:c r="J138" s="6" t="n">
        <x:v>0</x:v>
      </x:c>
      <x:c r="K138" s="6" t="n">
        <x:v>138</x:v>
      </x:c>
      <x:c r="L138" s="6"/>
      <x:c r="M138" s="6" t="n">
        <x:v>1</x:v>
      </x:c>
      <x:c r="N138" s="6" t="n">
        <x:v>1</x:v>
      </x:c>
      <x:c r="O138" s="4" t="str">
        <x:v>source_HGG_collection; complete_age_sex; broad_partition_label</x:v>
      </x:c>
      <x:c r="P138" s="6" t="n">
        <x:v>1</x:v>
      </x:c>
      <x:c r="Q138" s="8" t="n">
        <x:v>0.9026518999</x:v>
      </x:c>
      <x:c r="R138" s="8" t="n">
        <x:v>0.7897435897</x:v>
      </x:c>
      <x:c r="S138" s="6" t="n">
        <x:v>1</x:v>
      </x:c>
      <x:c r="T138" s="8" t="n">
        <x:f>(C138-Q138)^2</x:f>
        <x:v>0.00947665259307961</x:v>
      </x:c>
      <x:c r="U138" s="8" t="n">
        <x:f>(C138-R138)^2</x:f>
        <x:v>0.044207758072241934</x:v>
      </x:c>
    </x:row>
    <x:row r="139" ht="28" customHeight="1">
      <x:c r="A139" s="4" t="str">
        <x:v>UCSD-PTGBM-0101_02</x:v>
      </x:c>
      <x:c r="B139" s="4" t="str">
        <x:v>UCSD-PTGBM-0101</x:v>
      </x:c>
      <x:c r="C139" s="6" t="n">
        <x:v>1</x:v>
      </x:c>
      <x:c r="D139" s="4" t="str">
        <x:v>derived_from_published_243_equals_192_plus_51_partition</x:v>
      </x:c>
      <x:c r="E139" s="4"/>
      <x:c r="F139" s="6" t="n">
        <x:v>88</x:v>
      </x:c>
      <x:c r="G139" s="4" t="str">
        <x:v>Female</x:v>
      </x:c>
      <x:c r="H139" s="6" t="n">
        <x:v>0</x:v>
      </x:c>
      <x:c r="I139" s="4" t="str">
        <x:v>Glioblastoma</x:v>
      </x:c>
      <x:c r="J139" s="6" t="n">
        <x:v>0</x:v>
      </x:c>
      <x:c r="K139" s="6" t="n">
        <x:v>139</x:v>
      </x:c>
      <x:c r="L139" s="6"/>
      <x:c r="M139" s="6" t="n">
        <x:v>1</x:v>
      </x:c>
      <x:c r="N139" s="6" t="n">
        <x:v>1</x:v>
      </x:c>
      <x:c r="O139" s="4" t="str">
        <x:v>source_HGG_collection; complete_age_sex; broad_partition_label</x:v>
      </x:c>
      <x:c r="P139" s="6" t="n">
        <x:v>1</x:v>
      </x:c>
      <x:c r="Q139" s="8" t="n">
        <x:v>0.9026518999</x:v>
      </x:c>
      <x:c r="R139" s="8" t="n">
        <x:v>0.7897435897</x:v>
      </x:c>
      <x:c r="S139" s="6" t="n">
        <x:v>1</x:v>
      </x:c>
      <x:c r="T139" s="8" t="n">
        <x:f>(C139-Q139)^2</x:f>
        <x:v>0.00947665259307961</x:v>
      </x:c>
      <x:c r="U139" s="8" t="n">
        <x:f>(C139-R139)^2</x:f>
        <x:v>0.044207758072241934</x:v>
      </x:c>
    </x:row>
    <x:row r="140" ht="28" customHeight="1">
      <x:c r="A140" s="4" t="str">
        <x:v>UCSD-PTGBM-0102_01</x:v>
      </x:c>
      <x:c r="B140" s="4" t="str">
        <x:v>UCSD-PTGBM-0102</x:v>
      </x:c>
      <x:c r="C140" s="6" t="n">
        <x:v>1</x:v>
      </x:c>
      <x:c r="D140" s="4" t="str">
        <x:v>derived_from_published_243_equals_192_plus_51_partition</x:v>
      </x:c>
      <x:c r="E140" s="4"/>
      <x:c r="F140" s="6" t="n">
        <x:v>79</x:v>
      </x:c>
      <x:c r="G140" s="4" t="str">
        <x:v>Female</x:v>
      </x:c>
      <x:c r="H140" s="6" t="n">
        <x:v>0</x:v>
      </x:c>
      <x:c r="I140" s="4" t="str">
        <x:v>Glioblastoma</x:v>
      </x:c>
      <x:c r="J140" s="6" t="n">
        <x:v>0</x:v>
      </x:c>
      <x:c r="K140" s="6" t="n">
        <x:v>140</x:v>
      </x:c>
      <x:c r="L140" s="6"/>
      <x:c r="M140" s="6" t="n">
        <x:v>1</x:v>
      </x:c>
      <x:c r="N140" s="6" t="n">
        <x:v>1</x:v>
      </x:c>
      <x:c r="O140" s="4" t="str">
        <x:v>source_HGG_collection; complete_age_sex; broad_partition_label</x:v>
      </x:c>
      <x:c r="P140" s="6" t="n">
        <x:v>1</x:v>
      </x:c>
      <x:c r="Q140" s="8" t="n">
        <x:v>0.8767428256</x:v>
      </x:c>
      <x:c r="R140" s="8" t="n">
        <x:v>0.7897435897</x:v>
      </x:c>
      <x:c r="S140" s="6" t="n">
        <x:v>1</x:v>
      </x:c>
      <x:c r="T140" s="8" t="n">
        <x:f>(C140-Q140)^2</x:f>
        <x:v>0.015192331041072002</x:v>
      </x:c>
      <x:c r="U140" s="8" t="n">
        <x:f>(C140-R140)^2</x:f>
        <x:v>0.044207758072241934</x:v>
      </x:c>
    </x:row>
    <x:row r="141" ht="28" customHeight="1">
      <x:c r="A141" s="4" t="str">
        <x:v>UCSD-PTGBM-0103_01</x:v>
      </x:c>
      <x:c r="B141" s="4" t="str">
        <x:v>UCSD-PTGBM-0103</x:v>
      </x:c>
      <x:c r="C141" s="6" t="n">
        <x:v>1</x:v>
      </x:c>
      <x:c r="D141" s="4" t="str">
        <x:v>derived_from_published_243_equals_192_plus_51_partition</x:v>
      </x:c>
      <x:c r="E141" s="4"/>
      <x:c r="F141" s="6" t="n">
        <x:v>77</x:v>
      </x:c>
      <x:c r="G141" s="4" t="str">
        <x:v>Female</x:v>
      </x:c>
      <x:c r="H141" s="6" t="n">
        <x:v>0</x:v>
      </x:c>
      <x:c r="I141" s="4" t="str">
        <x:v>Glioblastoma</x:v>
      </x:c>
      <x:c r="J141" s="6" t="n">
        <x:v>0</x:v>
      </x:c>
      <x:c r="K141" s="6" t="n">
        <x:v>141</x:v>
      </x:c>
      <x:c r="L141" s="6"/>
      <x:c r="M141" s="6" t="n">
        <x:v>1</x:v>
      </x:c>
      <x:c r="N141" s="6" t="n">
        <x:v>1</x:v>
      </x:c>
      <x:c r="O141" s="4" t="str">
        <x:v>source_HGG_collection; complete_age_sex; broad_partition_label</x:v>
      </x:c>
      <x:c r="P141" s="6" t="n">
        <x:v>2</x:v>
      </x:c>
      <x:c r="Q141" s="8" t="n">
        <x:v>0.808576469</x:v>
      </x:c>
      <x:c r="R141" s="8" t="n">
        <x:v>0.7897435897</x:v>
      </x:c>
      <x:c r="S141" s="6" t="n">
        <x:v>1</x:v>
      </x:c>
      <x:c r="T141" s="8" t="n">
        <x:f>(C141-Q141)^2</x:f>
        <x:v>0.03664296822050795</x:v>
      </x:c>
      <x:c r="U141" s="8" t="n">
        <x:f>(C141-R141)^2</x:f>
        <x:v>0.044207758072241934</x:v>
      </x:c>
    </x:row>
    <x:row r="142" ht="28" customHeight="1">
      <x:c r="A142" s="4" t="str">
        <x:v>UCSD-PTGBM-0103_02</x:v>
      </x:c>
      <x:c r="B142" s="4" t="str">
        <x:v>UCSD-PTGBM-0103</x:v>
      </x:c>
      <x:c r="C142" s="6" t="n">
        <x:v>1</x:v>
      </x:c>
      <x:c r="D142" s="4" t="str">
        <x:v>derived_from_published_243_equals_192_plus_51_partition</x:v>
      </x:c>
      <x:c r="E142" s="4"/>
      <x:c r="F142" s="6" t="n">
        <x:v>77</x:v>
      </x:c>
      <x:c r="G142" s="4" t="str">
        <x:v>Female</x:v>
      </x:c>
      <x:c r="H142" s="6" t="n">
        <x:v>0</x:v>
      </x:c>
      <x:c r="I142" s="4" t="str">
        <x:v>Glioblastoma</x:v>
      </x:c>
      <x:c r="J142" s="6" t="n">
        <x:v>0</x:v>
      </x:c>
      <x:c r="K142" s="6" t="n">
        <x:v>142</x:v>
      </x:c>
      <x:c r="L142" s="6"/>
      <x:c r="M142" s="6" t="n">
        <x:v>1</x:v>
      </x:c>
      <x:c r="N142" s="6" t="n">
        <x:v>1</x:v>
      </x:c>
      <x:c r="O142" s="4" t="str">
        <x:v>source_HGG_collection; complete_age_sex; broad_partition_label</x:v>
      </x:c>
      <x:c r="P142" s="6" t="n">
        <x:v>2</x:v>
      </x:c>
      <x:c r="Q142" s="8" t="n">
        <x:v>0.808576469</x:v>
      </x:c>
      <x:c r="R142" s="8" t="n">
        <x:v>0.7897435897</x:v>
      </x:c>
      <x:c r="S142" s="6" t="n">
        <x:v>1</x:v>
      </x:c>
      <x:c r="T142" s="8" t="n">
        <x:f>(C142-Q142)^2</x:f>
        <x:v>0.03664296822050795</x:v>
      </x:c>
      <x:c r="U142" s="8" t="n">
        <x:f>(C142-R142)^2</x:f>
        <x:v>0.044207758072241934</x:v>
      </x:c>
    </x:row>
    <x:row r="143" ht="28" customHeight="1">
      <x:c r="A143" s="4" t="str">
        <x:v>UCSD-PTGBM-0104_01</x:v>
      </x:c>
      <x:c r="B143" s="4" t="str">
        <x:v>UCSD-PTGBM-0104</x:v>
      </x:c>
      <x:c r="C143" s="6" t="n">
        <x:v>1</x:v>
      </x:c>
      <x:c r="D143" s="4" t="str">
        <x:v>derived_from_published_243_equals_192_plus_51_partition</x:v>
      </x:c>
      <x:c r="E143" s="4"/>
      <x:c r="F143" s="6" t="n">
        <x:v>55</x:v>
      </x:c>
      <x:c r="G143" s="4" t="str">
        <x:v>Male</x:v>
      </x:c>
      <x:c r="H143" s="6" t="n">
        <x:v>1</x:v>
      </x:c>
      <x:c r="I143" s="4" t="str">
        <x:v>Glioblastoma</x:v>
      </x:c>
      <x:c r="J143" s="6" t="n">
        <x:v>0</x:v>
      </x:c>
      <x:c r="K143" s="6" t="n">
        <x:v>143</x:v>
      </x:c>
      <x:c r="L143" s="6"/>
      <x:c r="M143" s="6" t="n">
        <x:v>1</x:v>
      </x:c>
      <x:c r="N143" s="6" t="n">
        <x:v>1</x:v>
      </x:c>
      <x:c r="O143" s="4" t="str">
        <x:v>source_HGG_collection; complete_age_sex; broad_partition_label</x:v>
      </x:c>
      <x:c r="P143" s="6" t="n">
        <x:v>1</x:v>
      </x:c>
      <x:c r="Q143" s="8" t="n">
        <x:v>0.8103958922</x:v>
      </x:c>
      <x:c r="R143" s="8" t="n">
        <x:v>0.7897435897</x:v>
      </x:c>
      <x:c r="S143" s="6" t="n">
        <x:v>1</x:v>
      </x:c>
      <x:c r="T143" s="8" t="n">
        <x:f>(C143-Q143)^2</x:f>
        <x:v>0.03594971769463403</x:v>
      </x:c>
      <x:c r="U143" s="8" t="n">
        <x:f>(C143-R143)^2</x:f>
        <x:v>0.044207758072241934</x:v>
      </x:c>
    </x:row>
    <x:row r="144" ht="28" customHeight="1">
      <x:c r="A144" s="4" t="str">
        <x:v>UCSD-PTGBM-0105_01</x:v>
      </x:c>
      <x:c r="B144" s="4" t="str">
        <x:v>UCSD-PTGBM-0105</x:v>
      </x:c>
      <x:c r="C144" s="6" t="n">
        <x:v>1</x:v>
      </x:c>
      <x:c r="D144" s="4" t="str">
        <x:v>derived_from_published_243_equals_192_plus_51_partition</x:v>
      </x:c>
      <x:c r="E144" s="4"/>
      <x:c r="F144" s="6" t="n">
        <x:v>74</x:v>
      </x:c>
      <x:c r="G144" s="4" t="str">
        <x:v>Male</x:v>
      </x:c>
      <x:c r="H144" s="6" t="n">
        <x:v>1</x:v>
      </x:c>
      <x:c r="I144" s="4" t="str">
        <x:v>Glioblastoma</x:v>
      </x:c>
      <x:c r="J144" s="6" t="n">
        <x:v>0</x:v>
      </x:c>
      <x:c r="K144" s="6" t="n">
        <x:v>144</x:v>
      </x:c>
      <x:c r="L144" s="6"/>
      <x:c r="M144" s="6" t="n">
        <x:v>1</x:v>
      </x:c>
      <x:c r="N144" s="6" t="n">
        <x:v>1</x:v>
      </x:c>
      <x:c r="O144" s="4" t="str">
        <x:v>source_HGG_collection; complete_age_sex; broad_partition_label</x:v>
      </x:c>
      <x:c r="P144" s="6" t="n">
        <x:v>1</x:v>
      </x:c>
      <x:c r="Q144" s="8" t="n">
        <x:v>0.8820769184</x:v>
      </x:c>
      <x:c r="R144" s="8" t="n">
        <x:v>0.7897435897</x:v>
      </x:c>
      <x:c r="S144" s="6" t="n">
        <x:v>1</x:v>
      </x:c>
      <x:c r="T144" s="8" t="n">
        <x:f>(C144-Q144)^2</x:f>
        <x:v>0.013905853174040254</x:v>
      </x:c>
      <x:c r="U144" s="8" t="n">
        <x:f>(C144-R144)^2</x:f>
        <x:v>0.044207758072241934</x:v>
      </x:c>
    </x:row>
    <x:row r="145" ht="28" customHeight="1">
      <x:c r="A145" s="4" t="str">
        <x:v>UCSD-PTGBM-0106_01</x:v>
      </x:c>
      <x:c r="B145" s="4" t="str">
        <x:v>UCSD-PTGBM-0106</x:v>
      </x:c>
      <x:c r="C145" s="6" t="n">
        <x:v>1</x:v>
      </x:c>
      <x:c r="D145" s="4" t="str">
        <x:v>derived_from_published_243_equals_192_plus_51_partition</x:v>
      </x:c>
      <x:c r="E145" s="4"/>
      <x:c r="F145" s="6" t="n">
        <x:v>56</x:v>
      </x:c>
      <x:c r="G145" s="4" t="str">
        <x:v>Male</x:v>
      </x:c>
      <x:c r="H145" s="6" t="n">
        <x:v>1</x:v>
      </x:c>
      <x:c r="I145" s="4" t="str">
        <x:v>Glioblastoma</x:v>
      </x:c>
      <x:c r="J145" s="6" t="n">
        <x:v>0</x:v>
      </x:c>
      <x:c r="K145" s="6" t="n">
        <x:v>145</x:v>
      </x:c>
      <x:c r="L145" s="6"/>
      <x:c r="M145" s="6" t="n">
        <x:v>1</x:v>
      </x:c>
      <x:c r="N145" s="6" t="n">
        <x:v>1</x:v>
      </x:c>
      <x:c r="O145" s="4" t="str">
        <x:v>source_HGG_collection; complete_age_sex; broad_partition_label</x:v>
      </x:c>
      <x:c r="P145" s="6" t="n">
        <x:v>1</x:v>
      </x:c>
      <x:c r="Q145" s="8" t="n">
        <x:v>0.8148805925</x:v>
      </x:c>
      <x:c r="R145" s="8" t="n">
        <x:v>0.7897435897</x:v>
      </x:c>
      <x:c r="S145" s="6" t="n">
        <x:v>1</x:v>
      </x:c>
      <x:c r="T145" s="8" t="n">
        <x:f>(C145-Q145)^2</x:f>
        <x:v>0.034269195033151054</x:v>
      </x:c>
      <x:c r="U145" s="8" t="n">
        <x:f>(C145-R145)^2</x:f>
        <x:v>0.044207758072241934</x:v>
      </x:c>
    </x:row>
    <x:row r="146" ht="28" customHeight="1">
      <x:c r="A146" s="4" t="str">
        <x:v>UCSD-PTGBM-0107_01</x:v>
      </x:c>
      <x:c r="B146" s="4" t="str">
        <x:v>UCSD-PTGBM-0107</x:v>
      </x:c>
      <x:c r="C146" s="6" t="n">
        <x:v>1</x:v>
      </x:c>
      <x:c r="D146" s="4" t="str">
        <x:v>derived_from_published_243_equals_192_plus_51_partition</x:v>
      </x:c>
      <x:c r="E146" s="4"/>
      <x:c r="F146" s="6" t="n">
        <x:v>76</x:v>
      </x:c>
      <x:c r="G146" s="4" t="str">
        <x:v>Male</x:v>
      </x:c>
      <x:c r="H146" s="6" t="n">
        <x:v>1</x:v>
      </x:c>
      <x:c r="I146" s="4" t="str">
        <x:v>Glioblastoma</x:v>
      </x:c>
      <x:c r="J146" s="6" t="n">
        <x:v>0</x:v>
      </x:c>
      <x:c r="K146" s="6" t="n">
        <x:v>146</x:v>
      </x:c>
      <x:c r="L146" s="6"/>
      <x:c r="M146" s="6" t="n">
        <x:v>1</x:v>
      </x:c>
      <x:c r="N146" s="6" t="n">
        <x:v>1</x:v>
      </x:c>
      <x:c r="O146" s="4" t="str">
        <x:v>source_HGG_collection; complete_age_sex; broad_partition_label</x:v>
      </x:c>
      <x:c r="P146" s="6" t="n">
        <x:v>2</x:v>
      </x:c>
      <x:c r="Q146" s="8" t="n">
        <x:v>0.8751386108</x:v>
      </x:c>
      <x:c r="R146" s="8" t="n">
        <x:v>0.7897435897</x:v>
      </x:c>
      <x:c r="S146" s="6" t="n">
        <x:v>1</x:v>
      </x:c>
      <x:c r="T146" s="8" t="n">
        <x:f>(C146-Q146)^2</x:f>
        <x:v>0.015590366512953879</x:v>
      </x:c>
      <x:c r="U146" s="8" t="n">
        <x:f>(C146-R146)^2</x:f>
        <x:v>0.044207758072241934</x:v>
      </x:c>
    </x:row>
    <x:row r="147" ht="28" customHeight="1">
      <x:c r="A147" s="4" t="str">
        <x:v>UCSD-PTGBM-0108_01</x:v>
      </x:c>
      <x:c r="B147" s="4" t="str">
        <x:v>UCSD-PTGBM-0108</x:v>
      </x:c>
      <x:c r="C147" s="6" t="n">
        <x:v>1</x:v>
      </x:c>
      <x:c r="D147" s="4" t="str">
        <x:v>derived_from_published_243_equals_192_plus_51_partition</x:v>
      </x:c>
      <x:c r="E147" s="4"/>
      <x:c r="F147" s="6" t="n">
        <x:v>41</x:v>
      </x:c>
      <x:c r="G147" s="4" t="str">
        <x:v>Male</x:v>
      </x:c>
      <x:c r="H147" s="6" t="n">
        <x:v>1</x:v>
      </x:c>
      <x:c r="I147" s="4" t="str">
        <x:v>Glioblastoma</x:v>
      </x:c>
      <x:c r="J147" s="6" t="n">
        <x:v>0</x:v>
      </x:c>
      <x:c r="K147" s="6" t="n">
        <x:v>147</x:v>
      </x:c>
      <x:c r="L147" s="6"/>
      <x:c r="M147" s="6" t="n">
        <x:v>1</x:v>
      </x:c>
      <x:c r="N147" s="6" t="n">
        <x:v>1</x:v>
      </x:c>
      <x:c r="O147" s="4" t="str">
        <x:v>source_HGG_collection; complete_age_sex; broad_partition_label</x:v>
      </x:c>
      <x:c r="P147" s="6" t="n">
        <x:v>3</x:v>
      </x:c>
      <x:c r="Q147" s="8" t="n">
        <x:v>0.71578694</x:v>
      </x:c>
      <x:c r="R147" s="8" t="n">
        <x:v>0.7897435897</x:v>
      </x:c>
      <x:c r="S147" s="6" t="n">
        <x:v>1</x:v>
      </x:c>
      <x:c r="T147" s="8" t="n">
        <x:f>(C147-Q147)^2</x:f>
        <x:v>0.0807770634745636</x:v>
      </x:c>
      <x:c r="U147" s="8" t="n">
        <x:f>(C147-R147)^2</x:f>
        <x:v>0.044207758072241934</x:v>
      </x:c>
    </x:row>
    <x:row r="148" ht="28" customHeight="1">
      <x:c r="A148" s="4" t="str">
        <x:v>UCSD-PTGBM-0109_01</x:v>
      </x:c>
      <x:c r="B148" s="4" t="str">
        <x:v>UCSD-PTGBM-0109</x:v>
      </x:c>
      <x:c r="C148" s="6" t="n">
        <x:v>1</x:v>
      </x:c>
      <x:c r="D148" s="4" t="str">
        <x:v>derived_from_published_243_equals_192_plus_51_partition</x:v>
      </x:c>
      <x:c r="E148" s="4"/>
      <x:c r="F148" s="6" t="n">
        <x:v>62</x:v>
      </x:c>
      <x:c r="G148" s="4" t="str">
        <x:v>Male</x:v>
      </x:c>
      <x:c r="H148" s="6" t="n">
        <x:v>1</x:v>
      </x:c>
      <x:c r="I148" s="4" t="str">
        <x:v>Glioblastoma</x:v>
      </x:c>
      <x:c r="J148" s="6" t="n">
        <x:v>0</x:v>
      </x:c>
      <x:c r="K148" s="6" t="n">
        <x:v>148</x:v>
      </x:c>
      <x:c r="L148" s="6"/>
      <x:c r="M148" s="6" t="n">
        <x:v>1</x:v>
      </x:c>
      <x:c r="N148" s="6" t="n">
        <x:v>1</x:v>
      </x:c>
      <x:c r="O148" s="4" t="str">
        <x:v>source_HGG_collection; complete_age_sex; broad_partition_label</x:v>
      </x:c>
      <x:c r="P148" s="6" t="n">
        <x:v>1</x:v>
      </x:c>
      <x:c r="Q148" s="8" t="n">
        <x:v>0.8400736162</x:v>
      </x:c>
      <x:c r="R148" s="8" t="n">
        <x:v>0.7897435897</x:v>
      </x:c>
      <x:c r="S148" s="6" t="n">
        <x:v>1</x:v>
      </x:c>
      <x:c r="T148" s="8" t="n">
        <x:f>(C148-Q148)^2</x:f>
        <x:v>0.02557644823534491</x:v>
      </x:c>
      <x:c r="U148" s="8" t="n">
        <x:f>(C148-R148)^2</x:f>
        <x:v>0.044207758072241934</x:v>
      </x:c>
    </x:row>
    <x:row r="149" ht="28" customHeight="1">
      <x:c r="A149" s="4" t="str">
        <x:v>UCSD-PTGBM-0109_02</x:v>
      </x:c>
      <x:c r="B149" s="4" t="str">
        <x:v>UCSD-PTGBM-0109</x:v>
      </x:c>
      <x:c r="C149" s="6" t="n">
        <x:v>1</x:v>
      </x:c>
      <x:c r="D149" s="4" t="str">
        <x:v>derived_from_published_243_equals_192_plus_51_partition</x:v>
      </x:c>
      <x:c r="E149" s="4"/>
      <x:c r="F149" s="6" t="n">
        <x:v>62</x:v>
      </x:c>
      <x:c r="G149" s="4" t="str">
        <x:v>Male</x:v>
      </x:c>
      <x:c r="H149" s="6" t="n">
        <x:v>1</x:v>
      </x:c>
      <x:c r="I149" s="4" t="str">
        <x:v>Glioblastoma</x:v>
      </x:c>
      <x:c r="J149" s="6" t="n">
        <x:v>0</x:v>
      </x:c>
      <x:c r="K149" s="6" t="n">
        <x:v>149</x:v>
      </x:c>
      <x:c r="L149" s="6"/>
      <x:c r="M149" s="6" t="n">
        <x:v>1</x:v>
      </x:c>
      <x:c r="N149" s="6" t="n">
        <x:v>1</x:v>
      </x:c>
      <x:c r="O149" s="4" t="str">
        <x:v>source_HGG_collection; complete_age_sex; broad_partition_label</x:v>
      </x:c>
      <x:c r="P149" s="6" t="n">
        <x:v>1</x:v>
      </x:c>
      <x:c r="Q149" s="8" t="n">
        <x:v>0.8400736162</x:v>
      </x:c>
      <x:c r="R149" s="8" t="n">
        <x:v>0.7897435897</x:v>
      </x:c>
      <x:c r="S149" s="6" t="n">
        <x:v>1</x:v>
      </x:c>
      <x:c r="T149" s="8" t="n">
        <x:f>(C149-Q149)^2</x:f>
        <x:v>0.02557644823534491</x:v>
      </x:c>
      <x:c r="U149" s="8" t="n">
        <x:f>(C149-R149)^2</x:f>
        <x:v>0.044207758072241934</x:v>
      </x:c>
    </x:row>
    <x:row r="150" ht="28" customHeight="1">
      <x:c r="A150" s="4" t="str">
        <x:v>UCSD-PTGBM-0110_01</x:v>
      </x:c>
      <x:c r="B150" s="4" t="str">
        <x:v>UCSD-PTGBM-0110</x:v>
      </x:c>
      <x:c r="C150" s="6" t="n">
        <x:v>1</x:v>
      </x:c>
      <x:c r="D150" s="4" t="str">
        <x:v>derived_from_published_243_equals_192_plus_51_partition</x:v>
      </x:c>
      <x:c r="E150" s="4"/>
      <x:c r="F150" s="6" t="n">
        <x:v>57</x:v>
      </x:c>
      <x:c r="G150" s="4" t="str">
        <x:v>Male</x:v>
      </x:c>
      <x:c r="H150" s="6" t="n">
        <x:v>1</x:v>
      </x:c>
      <x:c r="I150" s="4" t="str">
        <x:v>Glioblastoma</x:v>
      </x:c>
      <x:c r="J150" s="6" t="n">
        <x:v>0</x:v>
      </x:c>
      <x:c r="K150" s="6" t="n">
        <x:v>150</x:v>
      </x:c>
      <x:c r="L150" s="6"/>
      <x:c r="M150" s="6" t="n">
        <x:v>1</x:v>
      </x:c>
      <x:c r="N150" s="6" t="n">
        <x:v>1</x:v>
      </x:c>
      <x:c r="O150" s="4" t="str">
        <x:v>source_HGG_collection; complete_age_sex; broad_partition_label</x:v>
      </x:c>
      <x:c r="P150" s="6" t="n">
        <x:v>2</x:v>
      </x:c>
      <x:c r="Q150" s="8" t="n">
        <x:v>0.8232089909</x:v>
      </x:c>
      <x:c r="R150" s="8" t="n">
        <x:v>0.7897435897</x:v>
      </x:c>
      <x:c r="S150" s="6" t="n">
        <x:v>1</x:v>
      </x:c>
      <x:c r="T150" s="8" t="n">
        <x:f>(C150-Q150)^2</x:f>
        <x:v>0.03125506089859629</x:v>
      </x:c>
      <x:c r="U150" s="8" t="n">
        <x:f>(C150-R150)^2</x:f>
        <x:v>0.044207758072241934</x:v>
      </x:c>
    </x:row>
    <x:row r="151" ht="28" customHeight="1">
      <x:c r="A151" s="4" t="str">
        <x:v>UCSD-PTGBM-0111_01</x:v>
      </x:c>
      <x:c r="B151" s="4" t="str">
        <x:v>UCSD-PTGBM-0111</x:v>
      </x:c>
      <x:c r="C151" s="6" t="n">
        <x:v>1</x:v>
      </x:c>
      <x:c r="D151" s="4" t="str">
        <x:v>derived_from_published_243_equals_192_plus_51_partition</x:v>
      </x:c>
      <x:c r="E151" s="4"/>
      <x:c r="F151" s="6" t="n">
        <x:v>57</x:v>
      </x:c>
      <x:c r="G151" s="4" t="str">
        <x:v>Male</x:v>
      </x:c>
      <x:c r="H151" s="6" t="n">
        <x:v>1</x:v>
      </x:c>
      <x:c r="I151" s="4" t="str">
        <x:v>Glioblastoma</x:v>
      </x:c>
      <x:c r="J151" s="6" t="n">
        <x:v>0</x:v>
      </x:c>
      <x:c r="K151" s="6" t="n">
        <x:v>151</x:v>
      </x:c>
      <x:c r="L151" s="6"/>
      <x:c r="M151" s="6" t="n">
        <x:v>1</x:v>
      </x:c>
      <x:c r="N151" s="6" t="n">
        <x:v>1</x:v>
      </x:c>
      <x:c r="O151" s="4" t="str">
        <x:v>source_HGG_collection; complete_age_sex; broad_partition_label</x:v>
      </x:c>
      <x:c r="P151" s="6" t="n">
        <x:v>3</x:v>
      </x:c>
      <x:c r="Q151" s="8" t="n">
        <x:v>0.8280433459</x:v>
      </x:c>
      <x:c r="R151" s="8" t="n">
        <x:v>0.7897435897</x:v>
      </x:c>
      <x:c r="S151" s="6" t="n">
        <x:v>1</x:v>
      </x:c>
      <x:c r="T151" s="8" t="n">
        <x:f>(C151-Q151)^2</x:f>
        <x:v>0.029569090889267065</x:v>
      </x:c>
      <x:c r="U151" s="8" t="n">
        <x:f>(C151-R151)^2</x:f>
        <x:v>0.044207758072241934</x:v>
      </x:c>
    </x:row>
    <x:row r="152" ht="28" customHeight="1">
      <x:c r="A152" s="4" t="str">
        <x:v>UCSD-PTGBM-0112_01</x:v>
      </x:c>
      <x:c r="B152" s="4" t="str">
        <x:v>UCSD-PTGBM-0112</x:v>
      </x:c>
      <x:c r="C152" s="6" t="n">
        <x:v>1</x:v>
      </x:c>
      <x:c r="D152" s="4" t="str">
        <x:v>derived_from_published_243_equals_192_plus_51_partition</x:v>
      </x:c>
      <x:c r="E152" s="4"/>
      <x:c r="F152" s="6" t="n">
        <x:v>61</x:v>
      </x:c>
      <x:c r="G152" s="4" t="str">
        <x:v>Male</x:v>
      </x:c>
      <x:c r="H152" s="6" t="n">
        <x:v>1</x:v>
      </x:c>
      <x:c r="I152" s="4" t="str">
        <x:v>Glioblastoma</x:v>
      </x:c>
      <x:c r="J152" s="6" t="n">
        <x:v>0</x:v>
      </x:c>
      <x:c r="K152" s="6" t="n">
        <x:v>152</x:v>
      </x:c>
      <x:c r="L152" s="6"/>
      <x:c r="M152" s="6" t="n">
        <x:v>1</x:v>
      </x:c>
      <x:c r="N152" s="6" t="n">
        <x:v>1</x:v>
      </x:c>
      <x:c r="O152" s="4" t="str">
        <x:v>source_HGG_collection; complete_age_sex; broad_partition_label</x:v>
      </x:c>
      <x:c r="P152" s="6" t="n">
        <x:v>1</x:v>
      </x:c>
      <x:c r="Q152" s="8" t="n">
        <x:v>0.836076467</x:v>
      </x:c>
      <x:c r="R152" s="8" t="n">
        <x:v>0.7897435897</x:v>
      </x:c>
      <x:c r="S152" s="6" t="n">
        <x:v>1</x:v>
      </x:c>
      <x:c r="T152" s="8" t="n">
        <x:f>(C152-Q152)^2</x:f>
        <x:v>0.026870924671202074</x:v>
      </x:c>
      <x:c r="U152" s="8" t="n">
        <x:f>(C152-R152)^2</x:f>
        <x:v>0.044207758072241934</x:v>
      </x:c>
    </x:row>
    <x:row r="153" ht="28" customHeight="1">
      <x:c r="A153" s="4" t="str">
        <x:v>UCSD-PTGBM-0113_01</x:v>
      </x:c>
      <x:c r="B153" s="4" t="str">
        <x:v>UCSD-PTGBM-0113</x:v>
      </x:c>
      <x:c r="C153" s="6" t="n">
        <x:v>1</x:v>
      </x:c>
      <x:c r="D153" s="4" t="str">
        <x:v>derived_from_published_243_equals_192_plus_51_partition</x:v>
      </x:c>
      <x:c r="E153" s="4"/>
      <x:c r="F153" s="6" t="n">
        <x:v>70</x:v>
      </x:c>
      <x:c r="G153" s="4" t="str">
        <x:v>Male</x:v>
      </x:c>
      <x:c r="H153" s="6" t="n">
        <x:v>1</x:v>
      </x:c>
      <x:c r="I153" s="4" t="str">
        <x:v>Glioblastoma</x:v>
      </x:c>
      <x:c r="J153" s="6" t="n">
        <x:v>0</x:v>
      </x:c>
      <x:c r="K153" s="6" t="n">
        <x:v>153</x:v>
      </x:c>
      <x:c r="L153" s="6"/>
      <x:c r="M153" s="6" t="n">
        <x:v>1</x:v>
      </x:c>
      <x:c r="N153" s="6" t="n">
        <x:v>1</x:v>
      </x:c>
      <x:c r="O153" s="4" t="str">
        <x:v>source_HGG_collection; complete_age_sex; broad_partition_label</x:v>
      </x:c>
      <x:c r="P153" s="6" t="n">
        <x:v>2</x:v>
      </x:c>
      <x:c r="Q153" s="8" t="n">
        <x:v>0.8603308113</x:v>
      </x:c>
      <x:c r="R153" s="8" t="n">
        <x:v>0.7897435897</x:v>
      </x:c>
      <x:c r="S153" s="6" t="n">
        <x:v>1</x:v>
      </x:c>
      <x:c r="T153" s="8" t="n">
        <x:f>(C153-Q153)^2</x:f>
        <x:v>0.019507482272116208</x:v>
      </x:c>
      <x:c r="U153" s="8" t="n">
        <x:f>(C153-R153)^2</x:f>
        <x:v>0.044207758072241934</x:v>
      </x:c>
    </x:row>
    <x:row r="154" ht="28" customHeight="1">
      <x:c r="A154" s="4" t="str">
        <x:v>UCSD-PTGBM-0114_01</x:v>
      </x:c>
      <x:c r="B154" s="4" t="str">
        <x:v>UCSD-PTGBM-0114</x:v>
      </x:c>
      <x:c r="C154" s="6" t="n">
        <x:v>1</x:v>
      </x:c>
      <x:c r="D154" s="4" t="str">
        <x:v>derived_from_published_243_equals_192_plus_51_partition</x:v>
      </x:c>
      <x:c r="E154" s="4"/>
      <x:c r="F154" s="6" t="n">
        <x:v>61</x:v>
      </x:c>
      <x:c r="G154" s="4" t="str">
        <x:v>Male</x:v>
      </x:c>
      <x:c r="H154" s="6" t="n">
        <x:v>1</x:v>
      </x:c>
      <x:c r="I154" s="4" t="str">
        <x:v>Glioblastoma</x:v>
      </x:c>
      <x:c r="J154" s="6" t="n">
        <x:v>0</x:v>
      </x:c>
      <x:c r="K154" s="6" t="n">
        <x:v>154</x:v>
      </x:c>
      <x:c r="L154" s="6"/>
      <x:c r="M154" s="6" t="n">
        <x:v>1</x:v>
      </x:c>
      <x:c r="N154" s="6" t="n">
        <x:v>1</x:v>
      </x:c>
      <x:c r="O154" s="4" t="str">
        <x:v>source_HGG_collection; complete_age_sex; broad_partition_label</x:v>
      </x:c>
      <x:c r="P154" s="6" t="n">
        <x:v>3</x:v>
      </x:c>
      <x:c r="Q154" s="8" t="n">
        <x:v>0.8499060318</x:v>
      </x:c>
      <x:c r="R154" s="8" t="n">
        <x:v>0.7897435897</x:v>
      </x:c>
      <x:c r="S154" s="6" t="n">
        <x:v>1</x:v>
      </x:c>
      <x:c r="T154" s="8" t="n">
        <x:f>(C154-Q154)^2</x:f>
        <x:v>0.022528199290022605</x:v>
      </x:c>
      <x:c r="U154" s="8" t="n">
        <x:f>(C154-R154)^2</x:f>
        <x:v>0.044207758072241934</x:v>
      </x:c>
    </x:row>
    <x:row r="155" ht="28" customHeight="1">
      <x:c r="A155" s="4" t="str">
        <x:v>UCSD-PTGBM-0115_01</x:v>
      </x:c>
      <x:c r="B155" s="4" t="str">
        <x:v>UCSD-PTGBM-0115</x:v>
      </x:c>
      <x:c r="C155" s="6" t="n">
        <x:v>0</x:v>
      </x:c>
      <x:c r="D155" s="4" t="str">
        <x:v>explicit_negative_case_list</x:v>
      </x:c>
      <x:c r="E155" s="4" t="str">
        <x:v>NS</x:v>
      </x:c>
      <x:c r="F155" s="6" t="n">
        <x:v>51</x:v>
      </x:c>
      <x:c r="G155" s="4" t="str">
        <x:v>Male</x:v>
      </x:c>
      <x:c r="H155" s="6" t="n">
        <x:v>1</x:v>
      </x:c>
      <x:c r="I155" s="4" t="str">
        <x:v>Glioblastoma</x:v>
      </x:c>
      <x:c r="J155" s="6" t="n">
        <x:v>0</x:v>
      </x:c>
      <x:c r="K155" s="6" t="n">
        <x:v>155</x:v>
      </x:c>
      <x:c r="L155" s="6" t="n">
        <x:v>31</x:v>
      </x:c>
      <x:c r="M155" s="6" t="n">
        <x:v>1</x:v>
      </x:c>
      <x:c r="N155" s="6" t="n">
        <x:v>1</x:v>
      </x:c>
      <x:c r="O155" s="4" t="str">
        <x:v>source_HGG_collection; complete_age_sex; broad_partition_label</x:v>
      </x:c>
      <x:c r="P155" s="6" t="n">
        <x:v>1</x:v>
      </x:c>
      <x:c r="Q155" s="8" t="n">
        <x:v>0.7916270753</x:v>
      </x:c>
      <x:c r="R155" s="8" t="n">
        <x:v>0.7897435897</x:v>
      </x:c>
      <x:c r="S155" s="6" t="n">
        <x:v>1</x:v>
      </x:c>
      <x:c r="T155" s="8" t="n">
        <x:f>(C155-Q155)^2</x:f>
        <x:v>0.6266734263480318</x:v>
      </x:c>
      <x:c r="U155" s="8" t="n">
        <x:f>(C155-R155)^2</x:f>
        <x:v>0.623694937472242</x:v>
      </x:c>
    </x:row>
    <x:row r="156" ht="28" customHeight="1">
      <x:c r="A156" s="4" t="str">
        <x:v>UCSD-PTGBM-0116_01</x:v>
      </x:c>
      <x:c r="B156" s="4" t="str">
        <x:v>UCSD-PTGBM-0116</x:v>
      </x:c>
      <x:c r="C156" s="6" t="n">
        <x:v>1</x:v>
      </x:c>
      <x:c r="D156" s="4" t="str">
        <x:v>derived_from_published_243_equals_192_plus_51_partition</x:v>
      </x:c>
      <x:c r="E156" s="4"/>
      <x:c r="F156" s="6" t="n">
        <x:v>20</x:v>
      </x:c>
      <x:c r="G156" s="4" t="str">
        <x:v>Male</x:v>
      </x:c>
      <x:c r="H156" s="6" t="n">
        <x:v>1</x:v>
      </x:c>
      <x:c r="I156" s="4" t="str">
        <x:v>Glioblastoma</x:v>
      </x:c>
      <x:c r="J156" s="6" t="n">
        <x:v>0</x:v>
      </x:c>
      <x:c r="K156" s="6" t="n">
        <x:v>156</x:v>
      </x:c>
      <x:c r="L156" s="6"/>
      <x:c r="M156" s="6" t="n">
        <x:v>1</x:v>
      </x:c>
      <x:c r="N156" s="6" t="n">
        <x:v>1</x:v>
      </x:c>
      <x:c r="O156" s="4" t="str">
        <x:v>source_HGG_collection; complete_age_sex; broad_partition_label</x:v>
      </x:c>
      <x:c r="P156" s="6" t="n">
        <x:v>2</x:v>
      </x:c>
      <x:c r="Q156" s="8" t="n">
        <x:v>0.6774095096</x:v>
      </x:c>
      <x:c r="R156" s="8" t="n">
        <x:v>0.7897435897</x:v>
      </x:c>
      <x:c r="S156" s="6" t="n">
        <x:v>1</x:v>
      </x:c>
      <x:c r="T156" s="8" t="n">
        <x:f>(C156-Q156)^2</x:f>
        <x:v>0.10406462449651248</x:v>
      </x:c>
      <x:c r="U156" s="8" t="n">
        <x:f>(C156-R156)^2</x:f>
        <x:v>0.044207758072241934</x:v>
      </x:c>
    </x:row>
    <x:row r="157" ht="28" customHeight="1">
      <x:c r="A157" s="4" t="str">
        <x:v>UCSD-PTGBM-0116_02</x:v>
      </x:c>
      <x:c r="B157" s="4" t="str">
        <x:v>UCSD-PTGBM-0116</x:v>
      </x:c>
      <x:c r="C157" s="6" t="n">
        <x:v>1</x:v>
      </x:c>
      <x:c r="D157" s="4" t="str">
        <x:v>derived_from_published_243_equals_192_plus_51_partition</x:v>
      </x:c>
      <x:c r="E157" s="4"/>
      <x:c r="F157" s="6" t="n">
        <x:v>20</x:v>
      </x:c>
      <x:c r="G157" s="4" t="str">
        <x:v>Male</x:v>
      </x:c>
      <x:c r="H157" s="6" t="n">
        <x:v>1</x:v>
      </x:c>
      <x:c r="I157" s="4" t="str">
        <x:v>Glioblastoma</x:v>
      </x:c>
      <x:c r="J157" s="6" t="n">
        <x:v>0</x:v>
      </x:c>
      <x:c r="K157" s="6" t="n">
        <x:v>157</x:v>
      </x:c>
      <x:c r="L157" s="6"/>
      <x:c r="M157" s="6" t="n">
        <x:v>1</x:v>
      </x:c>
      <x:c r="N157" s="6" t="n">
        <x:v>1</x:v>
      </x:c>
      <x:c r="O157" s="4" t="str">
        <x:v>source_HGG_collection; complete_age_sex; broad_partition_label</x:v>
      </x:c>
      <x:c r="P157" s="6" t="n">
        <x:v>2</x:v>
      </x:c>
      <x:c r="Q157" s="8" t="n">
        <x:v>0.6774095096</x:v>
      </x:c>
      <x:c r="R157" s="8" t="n">
        <x:v>0.7897435897</x:v>
      </x:c>
      <x:c r="S157" s="6" t="n">
        <x:v>1</x:v>
      </x:c>
      <x:c r="T157" s="8" t="n">
        <x:f>(C157-Q157)^2</x:f>
        <x:v>0.10406462449651248</x:v>
      </x:c>
      <x:c r="U157" s="8" t="n">
        <x:f>(C157-R157)^2</x:f>
        <x:v>0.044207758072241934</x:v>
      </x:c>
    </x:row>
    <x:row r="158" ht="28" customHeight="1">
      <x:c r="A158" s="4" t="str">
        <x:v>UCSD-PTGBM-0117_01</x:v>
      </x:c>
      <x:c r="B158" s="4" t="str">
        <x:v>UCSD-PTGBM-0117</x:v>
      </x:c>
      <x:c r="C158" s="6" t="n">
        <x:v>1</x:v>
      </x:c>
      <x:c r="D158" s="4" t="str">
        <x:v>derived_from_published_243_equals_192_plus_51_partition</x:v>
      </x:c>
      <x:c r="E158" s="4"/>
      <x:c r="F158" s="6" t="n">
        <x:v>52</x:v>
      </x:c>
      <x:c r="G158" s="4" t="str">
        <x:v>Female</x:v>
      </x:c>
      <x:c r="H158" s="6" t="n">
        <x:v>0</x:v>
      </x:c>
      <x:c r="I158" s="4" t="str">
        <x:v>Glioblastoma</x:v>
      </x:c>
      <x:c r="J158" s="6" t="n">
        <x:v>0</x:v>
      </x:c>
      <x:c r="K158" s="6" t="n">
        <x:v>158</x:v>
      </x:c>
      <x:c r="L158" s="6"/>
      <x:c r="M158" s="6" t="n">
        <x:v>1</x:v>
      </x:c>
      <x:c r="N158" s="6" t="n">
        <x:v>1</x:v>
      </x:c>
      <x:c r="O158" s="4" t="str">
        <x:v>source_HGG_collection; complete_age_sex; broad_partition_label</x:v>
      </x:c>
      <x:c r="P158" s="6" t="n">
        <x:v>3</x:v>
      </x:c>
      <x:c r="Q158" s="8" t="n">
        <x:v>0.7052874415</x:v>
      </x:c>
      <x:c r="R158" s="8" t="n">
        <x:v>0.7897435897</x:v>
      </x:c>
      <x:c r="S158" s="6" t="n">
        <x:v>1</x:v>
      </x:c>
      <x:c r="T158" s="8" t="n">
        <x:f>(C158-Q158)^2</x:f>
        <x:v>0.08685549213761593</x:v>
      </x:c>
      <x:c r="U158" s="8" t="n">
        <x:f>(C158-R158)^2</x:f>
        <x:v>0.044207758072241934</x:v>
      </x:c>
    </x:row>
    <x:row r="159" ht="28" customHeight="1">
      <x:c r="A159" s="4" t="str">
        <x:v>UCSD-PTGBM-0118_01</x:v>
      </x:c>
      <x:c r="B159" s="4" t="str">
        <x:v>UCSD-PTGBM-0118</x:v>
      </x:c>
      <x:c r="C159" s="6" t="n">
        <x:v>1</x:v>
      </x:c>
      <x:c r="D159" s="4" t="str">
        <x:v>derived_from_published_243_equals_192_plus_51_partition</x:v>
      </x:c>
      <x:c r="E159" s="4"/>
      <x:c r="F159" s="6" t="n">
        <x:v>41</x:v>
      </x:c>
      <x:c r="G159" s="4" t="str">
        <x:v>Male</x:v>
      </x:c>
      <x:c r="H159" s="6" t="n">
        <x:v>1</x:v>
      </x:c>
      <x:c r="I159" s="4" t="str">
        <x:v>Glioblastoma</x:v>
      </x:c>
      <x:c r="J159" s="6" t="n">
        <x:v>0</x:v>
      </x:c>
      <x:c r="K159" s="6" t="n">
        <x:v>159</x:v>
      </x:c>
      <x:c r="L159" s="6"/>
      <x:c r="M159" s="6" t="n">
        <x:v>1</x:v>
      </x:c>
      <x:c r="N159" s="6" t="n">
        <x:v>1</x:v>
      </x:c>
      <x:c r="O159" s="4" t="str">
        <x:v>source_HGG_collection; complete_age_sex; broad_partition_label</x:v>
      </x:c>
      <x:c r="P159" s="6" t="n">
        <x:v>3</x:v>
      </x:c>
      <x:c r="Q159" s="8" t="n">
        <x:v>0.71578694</x:v>
      </x:c>
      <x:c r="R159" s="8" t="n">
        <x:v>0.7897435897</x:v>
      </x:c>
      <x:c r="S159" s="6" t="n">
        <x:v>1</x:v>
      </x:c>
      <x:c r="T159" s="8" t="n">
        <x:f>(C159-Q159)^2</x:f>
        <x:v>0.0807770634745636</x:v>
      </x:c>
      <x:c r="U159" s="8" t="n">
        <x:f>(C159-R159)^2</x:f>
        <x:v>0.044207758072241934</x:v>
      </x:c>
    </x:row>
    <x:row r="160" ht="28" customHeight="1">
      <x:c r="A160" s="4" t="str">
        <x:v>UCSD-PTGBM-0119_01</x:v>
      </x:c>
      <x:c r="B160" s="4" t="str">
        <x:v>UCSD-PTGBM-0119</x:v>
      </x:c>
      <x:c r="C160" s="6" t="n">
        <x:v>0</x:v>
      </x:c>
      <x:c r="D160" s="4" t="str">
        <x:v>explicit_negative_case_list</x:v>
      </x:c>
      <x:c r="E160" s="4" t="str">
        <x:v>Radiation necrosis</x:v>
      </x:c>
      <x:c r="F160" s="6" t="n">
        <x:v>48</x:v>
      </x:c>
      <x:c r="G160" s="4" t="str">
        <x:v>Male</x:v>
      </x:c>
      <x:c r="H160" s="6" t="n">
        <x:v>1</x:v>
      </x:c>
      <x:c r="I160" s="4" t="str">
        <x:v>Glioblastoma</x:v>
      </x:c>
      <x:c r="J160" s="6" t="n">
        <x:v>0</x:v>
      </x:c>
      <x:c r="K160" s="6" t="n">
        <x:v>160</x:v>
      </x:c>
      <x:c r="L160" s="6" t="n">
        <x:v>32</x:v>
      </x:c>
      <x:c r="M160" s="6" t="n">
        <x:v>1</x:v>
      </x:c>
      <x:c r="N160" s="6" t="n">
        <x:v>1</x:v>
      </x:c>
      <x:c r="O160" s="4" t="str">
        <x:v>source_HGG_collection; complete_age_sex; broad_partition_label</x:v>
      </x:c>
      <x:c r="P160" s="6" t="n">
        <x:v>2</x:v>
      </x:c>
      <x:c r="Q160" s="8" t="n">
        <x:v>0.7932347594</x:v>
      </x:c>
      <x:c r="R160" s="8" t="n">
        <x:v>0.7897435897</x:v>
      </x:c>
      <x:c r="S160" s="6" t="n">
        <x:v>1</x:v>
      </x:c>
      <x:c r="T160" s="8" t="n">
        <x:f>(C160-Q160)^2</x:f>
        <x:v>0.6292213835203758</x:v>
      </x:c>
      <x:c r="U160" s="8" t="n">
        <x:f>(C160-R160)^2</x:f>
        <x:v>0.623694937472242</x:v>
      </x:c>
    </x:row>
    <x:row r="161" ht="28" customHeight="1">
      <x:c r="A161" s="4" t="str">
        <x:v>UCSD-PTGBM-0119_02</x:v>
      </x:c>
      <x:c r="B161" s="4" t="str">
        <x:v>UCSD-PTGBM-0119</x:v>
      </x:c>
      <x:c r="C161" s="6" t="n">
        <x:v>0</x:v>
      </x:c>
      <x:c r="D161" s="4" t="str">
        <x:v>explicit_negative_case_list</x:v>
      </x:c>
      <x:c r="E161" s="4" t="str">
        <x:v>Radiation necrosis</x:v>
      </x:c>
      <x:c r="F161" s="6" t="n">
        <x:v>48</x:v>
      </x:c>
      <x:c r="G161" s="4" t="str">
        <x:v>Male</x:v>
      </x:c>
      <x:c r="H161" s="6" t="n">
        <x:v>1</x:v>
      </x:c>
      <x:c r="I161" s="4" t="str">
        <x:v>Glioblastoma</x:v>
      </x:c>
      <x:c r="J161" s="6" t="n">
        <x:v>0</x:v>
      </x:c>
      <x:c r="K161" s="6" t="n">
        <x:v>161</x:v>
      </x:c>
      <x:c r="L161" s="6" t="n">
        <x:v>33</x:v>
      </x:c>
      <x:c r="M161" s="6" t="n">
        <x:v>1</x:v>
      </x:c>
      <x:c r="N161" s="6" t="n">
        <x:v>1</x:v>
      </x:c>
      <x:c r="O161" s="4" t="str">
        <x:v>source_HGG_collection; complete_age_sex; broad_partition_label</x:v>
      </x:c>
      <x:c r="P161" s="6" t="n">
        <x:v>2</x:v>
      </x:c>
      <x:c r="Q161" s="8" t="n">
        <x:v>0.7932347594</x:v>
      </x:c>
      <x:c r="R161" s="8" t="n">
        <x:v>0.7897435897</x:v>
      </x:c>
      <x:c r="S161" s="6" t="n">
        <x:v>1</x:v>
      </x:c>
      <x:c r="T161" s="8" t="n">
        <x:f>(C161-Q161)^2</x:f>
        <x:v>0.6292213835203758</x:v>
      </x:c>
      <x:c r="U161" s="8" t="n">
        <x:f>(C161-R161)^2</x:f>
        <x:v>0.623694937472242</x:v>
      </x:c>
    </x:row>
    <x:row r="162" ht="28" customHeight="1">
      <x:c r="A162" s="4" t="str">
        <x:v>UCSD-PTGBM-0120_01</x:v>
      </x:c>
      <x:c r="B162" s="4" t="str">
        <x:v>UCSD-PTGBM-0120</x:v>
      </x:c>
      <x:c r="C162" s="6" t="n">
        <x:v>1</x:v>
      </x:c>
      <x:c r="D162" s="4" t="str">
        <x:v>derived_from_published_243_equals_192_plus_51_partition</x:v>
      </x:c>
      <x:c r="E162" s="4"/>
      <x:c r="F162" s="6" t="n">
        <x:v>57</x:v>
      </x:c>
      <x:c r="G162" s="4" t="str">
        <x:v>Female</x:v>
      </x:c>
      <x:c r="H162" s="6" t="n">
        <x:v>0</x:v>
      </x:c>
      <x:c r="I162" s="4" t="str">
        <x:v>Glioblastoma</x:v>
      </x:c>
      <x:c r="J162" s="6" t="n">
        <x:v>0</x:v>
      </x:c>
      <x:c r="K162" s="6" t="n">
        <x:v>162</x:v>
      </x:c>
      <x:c r="L162" s="6"/>
      <x:c r="M162" s="6" t="n">
        <x:v>1</x:v>
      </x:c>
      <x:c r="N162" s="6" t="n">
        <x:v>1</x:v>
      </x:c>
      <x:c r="O162" s="4" t="str">
        <x:v>source_HGG_collection; complete_age_sex; broad_partition_label</x:v>
      </x:c>
      <x:c r="P162" s="6" t="n">
        <x:v>3</x:v>
      </x:c>
      <x:c r="Q162" s="8" t="n">
        <x:v>0.7455762829</x:v>
      </x:c>
      <x:c r="R162" s="8" t="n">
        <x:v>0.7897435897</x:v>
      </x:c>
      <x:c r="S162" s="6" t="n">
        <x:v>1</x:v>
      </x:c>
      <x:c r="T162" s="8" t="n">
        <x:f>(C162-Q162)^2</x:f>
        <x:v>0.06473142782298083</x:v>
      </x:c>
      <x:c r="U162" s="8" t="n">
        <x:f>(C162-R162)^2</x:f>
        <x:v>0.044207758072241934</x:v>
      </x:c>
    </x:row>
    <x:row r="163" ht="28" customHeight="1">
      <x:c r="A163" s="4" t="str">
        <x:v>UCSD-PTGBM-0120_02</x:v>
      </x:c>
      <x:c r="B163" s="4" t="str">
        <x:v>UCSD-PTGBM-0120</x:v>
      </x:c>
      <x:c r="C163" s="6" t="n">
        <x:v>1</x:v>
      </x:c>
      <x:c r="D163" s="4" t="str">
        <x:v>derived_from_published_243_equals_192_plus_51_partition</x:v>
      </x:c>
      <x:c r="E163" s="4"/>
      <x:c r="F163" s="6" t="n">
        <x:v>57</x:v>
      </x:c>
      <x:c r="G163" s="4" t="str">
        <x:v>Female</x:v>
      </x:c>
      <x:c r="H163" s="6" t="n">
        <x:v>0</x:v>
      </x:c>
      <x:c r="I163" s="4" t="str">
        <x:v>Glioblastoma</x:v>
      </x:c>
      <x:c r="J163" s="6" t="n">
        <x:v>0</x:v>
      </x:c>
      <x:c r="K163" s="6" t="n">
        <x:v>163</x:v>
      </x:c>
      <x:c r="L163" s="6"/>
      <x:c r="M163" s="6" t="n">
        <x:v>1</x:v>
      </x:c>
      <x:c r="N163" s="6" t="n">
        <x:v>1</x:v>
      </x:c>
      <x:c r="O163" s="4" t="str">
        <x:v>source_HGG_collection; complete_age_sex; broad_partition_label</x:v>
      </x:c>
      <x:c r="P163" s="6" t="n">
        <x:v>3</x:v>
      </x:c>
      <x:c r="Q163" s="8" t="n">
        <x:v>0.7455762829</x:v>
      </x:c>
      <x:c r="R163" s="8" t="n">
        <x:v>0.7897435897</x:v>
      </x:c>
      <x:c r="S163" s="6" t="n">
        <x:v>1</x:v>
      </x:c>
      <x:c r="T163" s="8" t="n">
        <x:f>(C163-Q163)^2</x:f>
        <x:v>0.06473142782298083</x:v>
      </x:c>
      <x:c r="U163" s="8" t="n">
        <x:f>(C163-R163)^2</x:f>
        <x:v>0.044207758072241934</x:v>
      </x:c>
    </x:row>
    <x:row r="164" ht="28" customHeight="1">
      <x:c r="A164" s="4" t="str">
        <x:v>UCSD-PTGBM-0121_01</x:v>
      </x:c>
      <x:c r="B164" s="4" t="str">
        <x:v>UCSD-PTGBM-0121</x:v>
      </x:c>
      <x:c r="C164" s="6" t="n">
        <x:v>1</x:v>
      </x:c>
      <x:c r="D164" s="4" t="str">
        <x:v>derived_from_published_243_equals_192_plus_51_partition</x:v>
      </x:c>
      <x:c r="E164" s="4"/>
      <x:c r="F164" s="6" t="n">
        <x:v>59</x:v>
      </x:c>
      <x:c r="G164" s="4" t="str">
        <x:v>Male</x:v>
      </x:c>
      <x:c r="H164" s="6" t="n">
        <x:v>1</x:v>
      </x:c>
      <x:c r="I164" s="4" t="str">
        <x:v>Glioblastoma</x:v>
      </x:c>
      <x:c r="J164" s="6" t="n">
        <x:v>0</x:v>
      </x:c>
      <x:c r="K164" s="6" t="n">
        <x:v>164</x:v>
      </x:c>
      <x:c r="L164" s="6"/>
      <x:c r="M164" s="6" t="n">
        <x:v>1</x:v>
      </x:c>
      <x:c r="N164" s="6" t="n">
        <x:v>1</x:v>
      </x:c>
      <x:c r="O164" s="4" t="str">
        <x:v>source_HGG_collection; complete_age_sex; broad_partition_label</x:v>
      </x:c>
      <x:c r="P164" s="6" t="n">
        <x:v>5</x:v>
      </x:c>
      <x:c r="Q164" s="8" t="n">
        <x:v>0.8157792807</x:v>
      </x:c>
      <x:c r="R164" s="8" t="n">
        <x:v>0.7875647668</x:v>
      </x:c>
      <x:c r="S164" s="6" t="n">
        <x:v>1</x:v>
      </x:c>
      <x:c r="T164" s="8" t="n">
        <x:f>(C164-Q164)^2</x:f>
        <x:v>0.03393727341940937</x:v>
      </x:c>
      <x:c r="U164" s="8" t="n">
        <x:f>(C164-R164)^2</x:f>
        <x:v>0.04512872830473839</x:v>
      </x:c>
    </x:row>
    <x:row r="165" ht="28" customHeight="1">
      <x:c r="A165" s="4" t="str">
        <x:v>UCSD-PTGBM-0121_02</x:v>
      </x:c>
      <x:c r="B165" s="4" t="str">
        <x:v>UCSD-PTGBM-0121</x:v>
      </x:c>
      <x:c r="C165" s="6" t="n">
        <x:v>1</x:v>
      </x:c>
      <x:c r="D165" s="4" t="str">
        <x:v>derived_from_published_243_equals_192_plus_51_partition</x:v>
      </x:c>
      <x:c r="E165" s="4"/>
      <x:c r="F165" s="6" t="n">
        <x:v>59</x:v>
      </x:c>
      <x:c r="G165" s="4" t="str">
        <x:v>Male</x:v>
      </x:c>
      <x:c r="H165" s="6" t="n">
        <x:v>1</x:v>
      </x:c>
      <x:c r="I165" s="4" t="str">
        <x:v>Glioblastoma</x:v>
      </x:c>
      <x:c r="J165" s="6" t="n">
        <x:v>0</x:v>
      </x:c>
      <x:c r="K165" s="6" t="n">
        <x:v>165</x:v>
      </x:c>
      <x:c r="L165" s="6"/>
      <x:c r="M165" s="6" t="n">
        <x:v>1</x:v>
      </x:c>
      <x:c r="N165" s="6" t="n">
        <x:v>1</x:v>
      </x:c>
      <x:c r="O165" s="4" t="str">
        <x:v>source_HGG_collection; complete_age_sex; broad_partition_label</x:v>
      </x:c>
      <x:c r="P165" s="6" t="n">
        <x:v>5</x:v>
      </x:c>
      <x:c r="Q165" s="8" t="n">
        <x:v>0.8157792807</x:v>
      </x:c>
      <x:c r="R165" s="8" t="n">
        <x:v>0.7875647668</x:v>
      </x:c>
      <x:c r="S165" s="6" t="n">
        <x:v>1</x:v>
      </x:c>
      <x:c r="T165" s="8" t="n">
        <x:f>(C165-Q165)^2</x:f>
        <x:v>0.03393727341940937</x:v>
      </x:c>
      <x:c r="U165" s="8" t="n">
        <x:f>(C165-R165)^2</x:f>
        <x:v>0.04512872830473839</x:v>
      </x:c>
    </x:row>
    <x:row r="166" ht="28" customHeight="1">
      <x:c r="A166" s="4" t="str">
        <x:v>UCSD-PTGBM-0122_01</x:v>
      </x:c>
      <x:c r="B166" s="4" t="str">
        <x:v>UCSD-PTGBM-0122</x:v>
      </x:c>
      <x:c r="C166" s="6" t="n">
        <x:v>1</x:v>
      </x:c>
      <x:c r="D166" s="4" t="str">
        <x:v>derived_from_published_243_equals_192_plus_51_partition</x:v>
      </x:c>
      <x:c r="E166" s="4"/>
      <x:c r="F166" s="6" t="n">
        <x:v>52</x:v>
      </x:c>
      <x:c r="G166" s="4" t="str">
        <x:v>Male</x:v>
      </x:c>
      <x:c r="H166" s="6" t="n">
        <x:v>1</x:v>
      </x:c>
      <x:c r="I166" s="4" t="str">
        <x:v>Glioblastoma</x:v>
      </x:c>
      <x:c r="J166" s="6" t="n">
        <x:v>0</x:v>
      </x:c>
      <x:c r="K166" s="6" t="n">
        <x:v>166</x:v>
      </x:c>
      <x:c r="L166" s="6"/>
      <x:c r="M166" s="6" t="n">
        <x:v>1</x:v>
      </x:c>
      <x:c r="N166" s="6" t="n">
        <x:v>1</x:v>
      </x:c>
      <x:c r="O166" s="4" t="str">
        <x:v>source_HGG_collection; complete_age_sex; broad_partition_label</x:v>
      </x:c>
      <x:c r="P166" s="6" t="n">
        <x:v>1</x:v>
      </x:c>
      <x:c r="Q166" s="8" t="n">
        <x:v>0.7964442052</x:v>
      </x:c>
      <x:c r="R166" s="8" t="n">
        <x:v>0.7897435897</x:v>
      </x:c>
      <x:c r="S166" s="6" t="n">
        <x:v>1</x:v>
      </x:c>
      <x:c r="T166" s="8" t="n">
        <x:f>(C166-Q166)^2</x:f>
        <x:v>0.04143496159665969</x:v>
      </x:c>
      <x:c r="U166" s="8" t="n">
        <x:f>(C166-R166)^2</x:f>
        <x:v>0.044207758072241934</x:v>
      </x:c>
    </x:row>
    <x:row r="167" ht="28" customHeight="1">
      <x:c r="A167" s="4" t="str">
        <x:v>UCSD-PTGBM-0123_01</x:v>
      </x:c>
      <x:c r="B167" s="4" t="str">
        <x:v>UCSD-PTGBM-0123</x:v>
      </x:c>
      <x:c r="C167" s="6" t="n">
        <x:v>0</x:v>
      </x:c>
      <x:c r="D167" s="4" t="str">
        <x:v>explicit_negative_case_list</x:v>
      </x:c>
      <x:c r="E167" s="4" t="str">
        <x:v>NS</x:v>
      </x:c>
      <x:c r="F167" s="6" t="n">
        <x:v>52</x:v>
      </x:c>
      <x:c r="G167" s="4" t="str">
        <x:v>Female</x:v>
      </x:c>
      <x:c r="H167" s="6" t="n">
        <x:v>0</x:v>
      </x:c>
      <x:c r="I167" s="4" t="str">
        <x:v>Glioblastoma</x:v>
      </x:c>
      <x:c r="J167" s="6" t="n">
        <x:v>0</x:v>
      </x:c>
      <x:c r="K167" s="6" t="n">
        <x:v>167</x:v>
      </x:c>
      <x:c r="L167" s="6" t="n">
        <x:v>34</x:v>
      </x:c>
      <x:c r="M167" s="6" t="n">
        <x:v>1</x:v>
      </x:c>
      <x:c r="N167" s="6" t="n">
        <x:v>1</x:v>
      </x:c>
      <x:c r="O167" s="4" t="str">
        <x:v>source_HGG_collection; complete_age_sex; broad_partition_label</x:v>
      </x:c>
      <x:c r="P167" s="6" t="n">
        <x:v>5</x:v>
      </x:c>
      <x:c r="Q167" s="8" t="n">
        <x:v>0.7693587669</x:v>
      </x:c>
      <x:c r="R167" s="8" t="n">
        <x:v>0.7875647668</x:v>
      </x:c>
      <x:c r="S167" s="6" t="n">
        <x:v>1</x:v>
      </x:c>
      <x:c r="T167" s="8" t="n">
        <x:f>(C167-Q167)^2</x:f>
        <x:v>0.5919129122058886</x:v>
      </x:c>
      <x:c r="U167" s="8" t="n">
        <x:f>(C167-R167)^2</x:f>
        <x:v>0.6202582619047383</x:v>
      </x:c>
    </x:row>
    <x:row r="168" ht="28" customHeight="1">
      <x:c r="A168" s="4" t="str">
        <x:v>UCSD-PTGBM-0123_02</x:v>
      </x:c>
      <x:c r="B168" s="4" t="str">
        <x:v>UCSD-PTGBM-0123</x:v>
      </x:c>
      <x:c r="C168" s="6" t="n">
        <x:v>0</x:v>
      </x:c>
      <x:c r="D168" s="4" t="str">
        <x:v>explicit_negative_case_list</x:v>
      </x:c>
      <x:c r="E168" s="4" t="str">
        <x:v>NS</x:v>
      </x:c>
      <x:c r="F168" s="6" t="n">
        <x:v>52</x:v>
      </x:c>
      <x:c r="G168" s="4" t="str">
        <x:v>Female</x:v>
      </x:c>
      <x:c r="H168" s="6" t="n">
        <x:v>0</x:v>
      </x:c>
      <x:c r="I168" s="4" t="str">
        <x:v>Glioblastoma</x:v>
      </x:c>
      <x:c r="J168" s="6" t="n">
        <x:v>0</x:v>
      </x:c>
      <x:c r="K168" s="6" t="n">
        <x:v>168</x:v>
      </x:c>
      <x:c r="L168" s="6" t="n">
        <x:v>35</x:v>
      </x:c>
      <x:c r="M168" s="6" t="n">
        <x:v>1</x:v>
      </x:c>
      <x:c r="N168" s="6" t="n">
        <x:v>1</x:v>
      </x:c>
      <x:c r="O168" s="4" t="str">
        <x:v>source_HGG_collection; complete_age_sex; broad_partition_label</x:v>
      </x:c>
      <x:c r="P168" s="6" t="n">
        <x:v>5</x:v>
      </x:c>
      <x:c r="Q168" s="8" t="n">
        <x:v>0.7693587669</x:v>
      </x:c>
      <x:c r="R168" s="8" t="n">
        <x:v>0.7875647668</x:v>
      </x:c>
      <x:c r="S168" s="6" t="n">
        <x:v>1</x:v>
      </x:c>
      <x:c r="T168" s="8" t="n">
        <x:f>(C168-Q168)^2</x:f>
        <x:v>0.5919129122058886</x:v>
      </x:c>
      <x:c r="U168" s="8" t="n">
        <x:f>(C168-R168)^2</x:f>
        <x:v>0.6202582619047383</x:v>
      </x:c>
    </x:row>
    <x:row r="169" ht="28" customHeight="1">
      <x:c r="A169" s="4" t="str">
        <x:v>UCSD-PTGBM-0123_03</x:v>
      </x:c>
      <x:c r="B169" s="4" t="str">
        <x:v>UCSD-PTGBM-0123</x:v>
      </x:c>
      <x:c r="C169" s="6" t="n">
        <x:v>0</x:v>
      </x:c>
      <x:c r="D169" s="4" t="str">
        <x:v>explicit_negative_case_list</x:v>
      </x:c>
      <x:c r="E169" s="4" t="str">
        <x:v>NS</x:v>
      </x:c>
      <x:c r="F169" s="6" t="n">
        <x:v>52</x:v>
      </x:c>
      <x:c r="G169" s="4" t="str">
        <x:v>Female</x:v>
      </x:c>
      <x:c r="H169" s="6" t="n">
        <x:v>0</x:v>
      </x:c>
      <x:c r="I169" s="4" t="str">
        <x:v>Glioblastoma</x:v>
      </x:c>
      <x:c r="J169" s="6" t="n">
        <x:v>0</x:v>
      </x:c>
      <x:c r="K169" s="6" t="n">
        <x:v>169</x:v>
      </x:c>
      <x:c r="L169" s="6" t="n">
        <x:v>36</x:v>
      </x:c>
      <x:c r="M169" s="6" t="n">
        <x:v>1</x:v>
      </x:c>
      <x:c r="N169" s="6" t="n">
        <x:v>1</x:v>
      </x:c>
      <x:c r="O169" s="4" t="str">
        <x:v>source_HGG_collection; complete_age_sex; broad_partition_label</x:v>
      </x:c>
      <x:c r="P169" s="6" t="n">
        <x:v>5</x:v>
      </x:c>
      <x:c r="Q169" s="8" t="n">
        <x:v>0.7693587669</x:v>
      </x:c>
      <x:c r="R169" s="8" t="n">
        <x:v>0.7875647668</x:v>
      </x:c>
      <x:c r="S169" s="6" t="n">
        <x:v>1</x:v>
      </x:c>
      <x:c r="T169" s="8" t="n">
        <x:f>(C169-Q169)^2</x:f>
        <x:v>0.5919129122058886</x:v>
      </x:c>
      <x:c r="U169" s="8" t="n">
        <x:f>(C169-R169)^2</x:f>
        <x:v>0.6202582619047383</x:v>
      </x:c>
    </x:row>
    <x:row r="170" ht="28" customHeight="1">
      <x:c r="A170" s="4" t="str">
        <x:v>UCSD-PTGBM-0124_01</x:v>
      </x:c>
      <x:c r="B170" s="4" t="str">
        <x:v>UCSD-PTGBM-0124</x:v>
      </x:c>
      <x:c r="C170" s="6" t="n">
        <x:v>1</x:v>
      </x:c>
      <x:c r="D170" s="4" t="str">
        <x:v>derived_from_published_243_equals_192_plus_51_partition</x:v>
      </x:c>
      <x:c r="E170" s="4"/>
      <x:c r="F170" s="6" t="n">
        <x:v>65</x:v>
      </x:c>
      <x:c r="G170" s="4" t="str">
        <x:v>Female</x:v>
      </x:c>
      <x:c r="H170" s="6" t="n">
        <x:v>0</x:v>
      </x:c>
      <x:c r="I170" s="4" t="str">
        <x:v>Glioblastoma</x:v>
      </x:c>
      <x:c r="J170" s="6" t="n">
        <x:v>0</x:v>
      </x:c>
      <x:c r="K170" s="6" t="n">
        <x:v>170</x:v>
      </x:c>
      <x:c r="L170" s="6"/>
      <x:c r="M170" s="6" t="n">
        <x:v>1</x:v>
      </x:c>
      <x:c r="N170" s="6" t="n">
        <x:v>1</x:v>
      </x:c>
      <x:c r="O170" s="4" t="str">
        <x:v>source_HGG_collection; complete_age_sex; broad_partition_label</x:v>
      </x:c>
      <x:c r="P170" s="6" t="n">
        <x:v>4</x:v>
      </x:c>
      <x:c r="Q170" s="8" t="n">
        <x:v>0.7921207779</x:v>
      </x:c>
      <x:c r="R170" s="8" t="n">
        <x:v>0.793814433</x:v>
      </x:c>
      <x:c r="S170" s="6" t="n">
        <x:v>1</x:v>
      </x:c>
      <x:c r="T170" s="8" t="n">
        <x:f>(C170-Q170)^2</x:f>
        <x:v>0.04321377098090112</x:v>
      </x:c>
      <x:c r="U170" s="8" t="n">
        <x:f>(C170-R170)^2</x:f>
        <x:v>0.04251248803911149</x:v>
      </x:c>
    </x:row>
    <x:row r="171" ht="28" customHeight="1">
      <x:c r="A171" s="4" t="str">
        <x:v>UCSD-PTGBM-0124_02</x:v>
      </x:c>
      <x:c r="B171" s="4" t="str">
        <x:v>UCSD-PTGBM-0124</x:v>
      </x:c>
      <x:c r="C171" s="6" t="n">
        <x:v>1</x:v>
      </x:c>
      <x:c r="D171" s="4" t="str">
        <x:v>derived_from_published_243_equals_192_plus_51_partition</x:v>
      </x:c>
      <x:c r="E171" s="4"/>
      <x:c r="F171" s="6" t="n">
        <x:v>65</x:v>
      </x:c>
      <x:c r="G171" s="4" t="str">
        <x:v>Female</x:v>
      </x:c>
      <x:c r="H171" s="6" t="n">
        <x:v>0</x:v>
      </x:c>
      <x:c r="I171" s="4" t="str">
        <x:v>Glioblastoma</x:v>
      </x:c>
      <x:c r="J171" s="6" t="n">
        <x:v>0</x:v>
      </x:c>
      <x:c r="K171" s="6" t="n">
        <x:v>171</x:v>
      </x:c>
      <x:c r="L171" s="6"/>
      <x:c r="M171" s="6" t="n">
        <x:v>1</x:v>
      </x:c>
      <x:c r="N171" s="6" t="n">
        <x:v>1</x:v>
      </x:c>
      <x:c r="O171" s="4" t="str">
        <x:v>source_HGG_collection; complete_age_sex; broad_partition_label</x:v>
      </x:c>
      <x:c r="P171" s="6" t="n">
        <x:v>4</x:v>
      </x:c>
      <x:c r="Q171" s="8" t="n">
        <x:v>0.7921207779</x:v>
      </x:c>
      <x:c r="R171" s="8" t="n">
        <x:v>0.793814433</x:v>
      </x:c>
      <x:c r="S171" s="6" t="n">
        <x:v>1</x:v>
      </x:c>
      <x:c r="T171" s="8" t="n">
        <x:f>(C171-Q171)^2</x:f>
        <x:v>0.04321377098090112</x:v>
      </x:c>
      <x:c r="U171" s="8" t="n">
        <x:f>(C171-R171)^2</x:f>
        <x:v>0.04251248803911149</x:v>
      </x:c>
    </x:row>
    <x:row r="172" ht="28" customHeight="1">
      <x:c r="A172" s="4" t="str">
        <x:v>UCSD-PTGBM-0125_01</x:v>
      </x:c>
      <x:c r="B172" s="4" t="str">
        <x:v>UCSD-PTGBM-0125</x:v>
      </x:c>
      <x:c r="C172" s="6" t="n">
        <x:v>1</x:v>
      </x:c>
      <x:c r="D172" s="4" t="str">
        <x:v>derived_from_published_243_equals_192_plus_51_partition</x:v>
      </x:c>
      <x:c r="E172" s="4"/>
      <x:c r="F172" s="6" t="n">
        <x:v>52</x:v>
      </x:c>
      <x:c r="G172" s="4" t="str">
        <x:v>Male</x:v>
      </x:c>
      <x:c r="H172" s="6" t="n">
        <x:v>1</x:v>
      </x:c>
      <x:c r="I172" s="4" t="str">
        <x:v>Glioblastoma</x:v>
      </x:c>
      <x:c r="J172" s="6" t="n">
        <x:v>0</x:v>
      </x:c>
      <x:c r="K172" s="6" t="n">
        <x:v>172</x:v>
      </x:c>
      <x:c r="L172" s="6"/>
      <x:c r="M172" s="6" t="n">
        <x:v>1</x:v>
      </x:c>
      <x:c r="N172" s="6" t="n">
        <x:v>1</x:v>
      </x:c>
      <x:c r="O172" s="4" t="str">
        <x:v>source_HGG_collection; complete_age_sex; broad_partition_label</x:v>
      </x:c>
      <x:c r="P172" s="6" t="n">
        <x:v>4</x:v>
      </x:c>
      <x:c r="Q172" s="8" t="n">
        <x:v>0.8101119316</x:v>
      </x:c>
      <x:c r="R172" s="8" t="n">
        <x:v>0.793814433</x:v>
      </x:c>
      <x:c r="S172" s="6" t="n">
        <x:v>1</x:v>
      </x:c>
      <x:c r="T172" s="8" t="n">
        <x:f>(C172-Q172)^2</x:f>
        <x:v>0.0360574785206831</x:v>
      </x:c>
      <x:c r="U172" s="8" t="n">
        <x:f>(C172-R172)^2</x:f>
        <x:v>0.04251248803911149</x:v>
      </x:c>
    </x:row>
    <x:row r="173" ht="28" customHeight="1">
      <x:c r="A173" s="4" t="str">
        <x:v>UCSD-PTGBM-0126_01</x:v>
      </x:c>
      <x:c r="B173" s="4" t="str">
        <x:v>UCSD-PTGBM-0126</x:v>
      </x:c>
      <x:c r="C173" s="6" t="n">
        <x:v>1</x:v>
      </x:c>
      <x:c r="D173" s="4" t="str">
        <x:v>derived_from_published_243_equals_192_plus_51_partition</x:v>
      </x:c>
      <x:c r="E173" s="4"/>
      <x:c r="F173" s="6" t="n">
        <x:v>60</x:v>
      </x:c>
      <x:c r="G173" s="4" t="str">
        <x:v>Male</x:v>
      </x:c>
      <x:c r="H173" s="6" t="n">
        <x:v>1</x:v>
      </x:c>
      <x:c r="I173" s="4" t="str">
        <x:v>Glioblastoma</x:v>
      </x:c>
      <x:c r="J173" s="6" t="n">
        <x:v>0</x:v>
      </x:c>
      <x:c r="K173" s="6" t="n">
        <x:v>173</x:v>
      </x:c>
      <x:c r="L173" s="6"/>
      <x:c r="M173" s="6" t="n">
        <x:v>1</x:v>
      </x:c>
      <x:c r="N173" s="6" t="n">
        <x:v>1</x:v>
      </x:c>
      <x:c r="O173" s="4" t="str">
        <x:v>source_HGG_collection; complete_age_sex; broad_partition_label</x:v>
      </x:c>
      <x:c r="P173" s="6" t="n">
        <x:v>3</x:v>
      </x:c>
      <x:c r="Q173" s="8" t="n">
        <x:v>0.8446647275</x:v>
      </x:c>
      <x:c r="R173" s="8" t="n">
        <x:v>0.7897435897</x:v>
      </x:c>
      <x:c r="S173" s="6" t="n">
        <x:v>1</x:v>
      </x:c>
      <x:c r="T173" s="8" t="n">
        <x:f>(C173-Q173)^2</x:f>
        <x:v>0.02412904688264926</x:v>
      </x:c>
      <x:c r="U173" s="8" t="n">
        <x:f>(C173-R173)^2</x:f>
        <x:v>0.044207758072241934</x:v>
      </x:c>
    </x:row>
    <x:row r="174" ht="28" customHeight="1">
      <x:c r="A174" s="4" t="str">
        <x:v>UCSD-PTGBM-0127_01</x:v>
      </x:c>
      <x:c r="B174" s="4" t="str">
        <x:v>UCSD-PTGBM-0127</x:v>
      </x:c>
      <x:c r="C174" s="6" t="n">
        <x:v>1</x:v>
      </x:c>
      <x:c r="D174" s="4" t="str">
        <x:v>derived_from_published_243_equals_192_plus_51_partition</x:v>
      </x:c>
      <x:c r="E174" s="4"/>
      <x:c r="F174" s="6" t="n">
        <x:v>58</x:v>
      </x:c>
      <x:c r="G174" s="4" t="str">
        <x:v>Male</x:v>
      </x:c>
      <x:c r="H174" s="6" t="n">
        <x:v>1</x:v>
      </x:c>
      <x:c r="I174" s="4" t="str">
        <x:v>Glioblastoma</x:v>
      </x:c>
      <x:c r="J174" s="6" t="n">
        <x:v>0</x:v>
      </x:c>
      <x:c r="K174" s="6" t="n">
        <x:v>174</x:v>
      </x:c>
      <x:c r="L174" s="6"/>
      <x:c r="M174" s="6" t="n">
        <x:v>1</x:v>
      </x:c>
      <x:c r="N174" s="6" t="n">
        <x:v>1</x:v>
      </x:c>
      <x:c r="O174" s="4" t="str">
        <x:v>source_HGG_collection; complete_age_sex; broad_partition_label</x:v>
      </x:c>
      <x:c r="P174" s="6" t="n">
        <x:v>1</x:v>
      </x:c>
      <x:c r="Q174" s="8" t="n">
        <x:v>0.8236031225</x:v>
      </x:c>
      <x:c r="R174" s="8" t="n">
        <x:v>0.7897435897</x:v>
      </x:c>
      <x:c r="S174" s="6" t="n">
        <x:v>1</x:v>
      </x:c>
      <x:c r="T174" s="8" t="n">
        <x:f>(C174-Q174)^2</x:f>
        <x:v>0.031115858391750004</x:v>
      </x:c>
      <x:c r="U174" s="8" t="n">
        <x:f>(C174-R174)^2</x:f>
        <x:v>0.044207758072241934</x:v>
      </x:c>
    </x:row>
    <x:row r="175" ht="28" customHeight="1">
      <x:c r="A175" s="4" t="str">
        <x:v>UCSD-PTGBM-0128_01</x:v>
      </x:c>
      <x:c r="B175" s="4" t="str">
        <x:v>UCSD-PTGBM-0128</x:v>
      </x:c>
      <x:c r="C175" s="6" t="n">
        <x:v>1</x:v>
      </x:c>
      <x:c r="D175" s="4" t="str">
        <x:v>derived_from_published_243_equals_192_plus_51_partition</x:v>
      </x:c>
      <x:c r="E175" s="4"/>
      <x:c r="F175" s="6" t="n">
        <x:v>81</x:v>
      </x:c>
      <x:c r="G175" s="4" t="str">
        <x:v>Male</x:v>
      </x:c>
      <x:c r="H175" s="6" t="n">
        <x:v>1</x:v>
      </x:c>
      <x:c r="I175" s="4" t="str">
        <x:v>Glioblastoma</x:v>
      </x:c>
      <x:c r="J175" s="6" t="n">
        <x:v>0</x:v>
      </x:c>
      <x:c r="K175" s="6" t="n">
        <x:v>175</x:v>
      </x:c>
      <x:c r="L175" s="6"/>
      <x:c r="M175" s="6" t="n">
        <x:v>1</x:v>
      </x:c>
      <x:c r="N175" s="6" t="n">
        <x:v>1</x:v>
      </x:c>
      <x:c r="O175" s="4" t="str">
        <x:v>source_HGG_collection; complete_age_sex; broad_partition_label</x:v>
      </x:c>
      <x:c r="P175" s="6" t="n">
        <x:v>5</x:v>
      </x:c>
      <x:c r="Q175" s="8" t="n">
        <x:v>0.8914154184</x:v>
      </x:c>
      <x:c r="R175" s="8" t="n">
        <x:v>0.7875647668</x:v>
      </x:c>
      <x:c r="S175" s="6" t="n">
        <x:v>1</x:v>
      </x:c>
      <x:c r="T175" s="8" t="n">
        <x:f>(C175-Q175)^2</x:f>
        <x:v>0.011790611361247047</x:v>
      </x:c>
      <x:c r="U175" s="8" t="n">
        <x:f>(C175-R175)^2</x:f>
        <x:v>0.04512872830473839</x:v>
      </x:c>
    </x:row>
    <x:row r="176" ht="28" customHeight="1">
      <x:c r="A176" s="4" t="str">
        <x:v>UCSD-PTGBM-0129_01</x:v>
      </x:c>
      <x:c r="B176" s="4" t="str">
        <x:v>UCSD-PTGBM-0129</x:v>
      </x:c>
      <x:c r="C176" s="6" t="n">
        <x:v>1</x:v>
      </x:c>
      <x:c r="D176" s="4" t="str">
        <x:v>derived_from_published_243_equals_192_plus_51_partition</x:v>
      </x:c>
      <x:c r="E176" s="4"/>
      <x:c r="F176" s="6" t="n">
        <x:v>50</x:v>
      </x:c>
      <x:c r="G176" s="4" t="str">
        <x:v>Male</x:v>
      </x:c>
      <x:c r="H176" s="6" t="n">
        <x:v>1</x:v>
      </x:c>
      <x:c r="I176" s="4" t="str">
        <x:v>Glioblastoma</x:v>
      </x:c>
      <x:c r="J176" s="6" t="n">
        <x:v>0</x:v>
      </x:c>
      <x:c r="K176" s="6" t="n">
        <x:v>176</x:v>
      </x:c>
      <x:c r="L176" s="6"/>
      <x:c r="M176" s="6" t="n">
        <x:v>1</x:v>
      </x:c>
      <x:c r="N176" s="6" t="n">
        <x:v>1</x:v>
      </x:c>
      <x:c r="O176" s="4" t="str">
        <x:v>source_HGG_collection; complete_age_sex; broad_partition_label</x:v>
      </x:c>
      <x:c r="P176" s="6" t="n">
        <x:v>1</x:v>
      </x:c>
      <x:c r="Q176" s="8" t="n">
        <x:v>0.7867264749</x:v>
      </x:c>
      <x:c r="R176" s="8" t="n">
        <x:v>0.7897435897</x:v>
      </x:c>
      <x:c r="S176" s="6" t="n">
        <x:v>1</x:v>
      </x:c>
      <x:c r="T176" s="8" t="n">
        <x:f>(C176-Q176)^2</x:f>
        <x:v>0.04548559650858032</x:v>
      </x:c>
      <x:c r="U176" s="8" t="n">
        <x:f>(C176-R176)^2</x:f>
        <x:v>0.044207758072241934</x:v>
      </x:c>
    </x:row>
    <x:row r="177" ht="28" customHeight="1">
      <x:c r="A177" s="4" t="str">
        <x:v>UCSD-PTGBM-0130_01</x:v>
      </x:c>
      <x:c r="B177" s="4" t="str">
        <x:v>UCSD-PTGBM-0130</x:v>
      </x:c>
      <x:c r="C177" s="6" t="n">
        <x:v>1</x:v>
      </x:c>
      <x:c r="D177" s="4" t="str">
        <x:v>derived_from_published_243_equals_192_plus_51_partition</x:v>
      </x:c>
      <x:c r="E177" s="4"/>
      <x:c r="F177" s="6" t="n">
        <x:v>50</x:v>
      </x:c>
      <x:c r="G177" s="4" t="str">
        <x:v>Male</x:v>
      </x:c>
      <x:c r="H177" s="6" t="n">
        <x:v>1</x:v>
      </x:c>
      <x:c r="I177" s="4" t="str">
        <x:v>Glioblastoma</x:v>
      </x:c>
      <x:c r="J177" s="6" t="n">
        <x:v>0</x:v>
      </x:c>
      <x:c r="K177" s="6" t="n">
        <x:v>177</x:v>
      </x:c>
      <x:c r="L177" s="6"/>
      <x:c r="M177" s="6" t="n">
        <x:v>1</x:v>
      </x:c>
      <x:c r="N177" s="6" t="n">
        <x:v>1</x:v>
      </x:c>
      <x:c r="O177" s="4" t="str">
        <x:v>source_HGG_collection; complete_age_sex; broad_partition_label</x:v>
      </x:c>
      <x:c r="P177" s="6" t="n">
        <x:v>5</x:v>
      </x:c>
      <x:c r="Q177" s="8" t="n">
        <x:v>0.7747778167</x:v>
      </x:c>
      <x:c r="R177" s="8" t="n">
        <x:v>0.7875647668</x:v>
      </x:c>
      <x:c r="S177" s="6" t="n">
        <x:v>1</x:v>
      </x:c>
      <x:c r="T177" s="8" t="n">
        <x:f>(C177-Q177)^2</x:f>
        <x:v>0.050725031850418795</x:v>
      </x:c>
      <x:c r="U177" s="8" t="n">
        <x:f>(C177-R177)^2</x:f>
        <x:v>0.04512872830473839</x:v>
      </x:c>
    </x:row>
    <x:row r="178" ht="28" customHeight="1">
      <x:c r="A178" s="4" t="str">
        <x:v>UCSD-PTGBM-0131_01</x:v>
      </x:c>
      <x:c r="B178" s="4" t="str">
        <x:v>UCSD-PTGBM-0131</x:v>
      </x:c>
      <x:c r="C178" s="6" t="n">
        <x:v>1</x:v>
      </x:c>
      <x:c r="D178" s="4" t="str">
        <x:v>derived_from_published_243_equals_192_plus_51_partition</x:v>
      </x:c>
      <x:c r="E178" s="4"/>
      <x:c r="F178" s="6" t="n">
        <x:v>38</x:v>
      </x:c>
      <x:c r="G178" s="4" t="str">
        <x:v>Male</x:v>
      </x:c>
      <x:c r="H178" s="6" t="n">
        <x:v>1</x:v>
      </x:c>
      <x:c r="I178" s="4" t="str">
        <x:v>Glioblastoma</x:v>
      </x:c>
      <x:c r="J178" s="6" t="n">
        <x:v>0</x:v>
      </x:c>
      <x:c r="K178" s="6" t="n">
        <x:v>178</x:v>
      </x:c>
      <x:c r="L178" s="6"/>
      <x:c r="M178" s="6" t="n">
        <x:v>1</x:v>
      </x:c>
      <x:c r="N178" s="6" t="n">
        <x:v>1</x:v>
      </x:c>
      <x:c r="O178" s="4" t="str">
        <x:v>source_HGG_collection; complete_age_sex; broad_partition_label</x:v>
      </x:c>
      <x:c r="P178" s="6" t="n">
        <x:v>3</x:v>
      </x:c>
      <x:c r="Q178" s="8" t="n">
        <x:v>0.6904293913</x:v>
      </x:c>
      <x:c r="R178" s="8" t="n">
        <x:v>0.7897435897</x:v>
      </x:c>
      <x:c r="S178" s="6" t="n">
        <x:v>1</x:v>
      </x:c>
      <x:c r="T178" s="8" t="n">
        <x:f>(C178-Q178)^2</x:f>
        <x:v>0.0958339617708885</x:v>
      </x:c>
      <x:c r="U178" s="8" t="n">
        <x:f>(C178-R178)^2</x:f>
        <x:v>0.044207758072241934</x:v>
      </x:c>
    </x:row>
    <x:row r="179" ht="28" customHeight="1">
      <x:c r="A179" s="4" t="str">
        <x:v>UCSD-PTGBM-0132_01</x:v>
      </x:c>
      <x:c r="B179" s="4" t="str">
        <x:v>UCSD-PTGBM-0132</x:v>
      </x:c>
      <x:c r="C179" s="6" t="n">
        <x:v>1</x:v>
      </x:c>
      <x:c r="D179" s="4" t="str">
        <x:v>derived_from_published_243_equals_192_plus_51_partition</x:v>
      </x:c>
      <x:c r="E179" s="4"/>
      <x:c r="F179" s="6" t="n">
        <x:v>69</x:v>
      </x:c>
      <x:c r="G179" s="4" t="str">
        <x:v>Male</x:v>
      </x:c>
      <x:c r="H179" s="6" t="n">
        <x:v>1</x:v>
      </x:c>
      <x:c r="I179" s="4" t="str">
        <x:v>Glioblastoma</x:v>
      </x:c>
      <x:c r="J179" s="6" t="n">
        <x:v>0</x:v>
      </x:c>
      <x:c r="K179" s="6" t="n">
        <x:v>179</x:v>
      </x:c>
      <x:c r="L179" s="6"/>
      <x:c r="M179" s="6" t="n">
        <x:v>1</x:v>
      </x:c>
      <x:c r="N179" s="6" t="n">
        <x:v>1</x:v>
      </x:c>
      <x:c r="O179" s="4" t="str">
        <x:v>source_HGG_collection; complete_age_sex; broad_partition_label</x:v>
      </x:c>
      <x:c r="P179" s="6" t="n">
        <x:v>5</x:v>
      </x:c>
      <x:c r="Q179" s="8" t="n">
        <x:v>0.8542819084</x:v>
      </x:c>
      <x:c r="R179" s="8" t="n">
        <x:v>0.7875647668</x:v>
      </x:c>
      <x:c r="S179" s="6" t="n">
        <x:v>1</x:v>
      </x:c>
      <x:c r="T179" s="8" t="n">
        <x:f>(C179-Q179)^2</x:f>
        <x:v>0.021233762219546003</x:v>
      </x:c>
      <x:c r="U179" s="8" t="n">
        <x:f>(C179-R179)^2</x:f>
        <x:v>0.04512872830473839</x:v>
      </x:c>
    </x:row>
    <x:row r="180" ht="28" customHeight="1">
      <x:c r="A180" s="4" t="str">
        <x:v>UCSD-PTGBM-0133_01</x:v>
      </x:c>
      <x:c r="B180" s="4" t="str">
        <x:v>UCSD-PTGBM-0133</x:v>
      </x:c>
      <x:c r="C180" s="6" t="n">
        <x:v>1</x:v>
      </x:c>
      <x:c r="D180" s="4" t="str">
        <x:v>derived_from_published_243_equals_192_plus_51_partition</x:v>
      </x:c>
      <x:c r="E180" s="4"/>
      <x:c r="F180" s="6" t="n">
        <x:v>62</x:v>
      </x:c>
      <x:c r="G180" s="4" t="str">
        <x:v>Male</x:v>
      </x:c>
      <x:c r="H180" s="6" t="n">
        <x:v>1</x:v>
      </x:c>
      <x:c r="I180" s="4" t="str">
        <x:v>Glioblastoma</x:v>
      </x:c>
      <x:c r="J180" s="6" t="n">
        <x:v>0</x:v>
      </x:c>
      <x:c r="K180" s="6" t="n">
        <x:v>180</x:v>
      </x:c>
      <x:c r="L180" s="6"/>
      <x:c r="M180" s="6" t="n">
        <x:v>1</x:v>
      </x:c>
      <x:c r="N180" s="6" t="n">
        <x:v>1</x:v>
      </x:c>
      <x:c r="O180" s="4" t="str">
        <x:v>source_HGG_collection; complete_age_sex; broad_partition_label</x:v>
      </x:c>
      <x:c r="P180" s="6" t="n">
        <x:v>4</x:v>
      </x:c>
      <x:c r="Q180" s="8" t="n">
        <x:v>0.8489382676</x:v>
      </x:c>
      <x:c r="R180" s="8" t="n">
        <x:v>0.793814433</x:v>
      </x:c>
      <x:c r="S180" s="6" t="n">
        <x:v>1</x:v>
      </x:c>
      <x:c r="T180" s="8" t="n">
        <x:f>(C180-Q180)^2</x:f>
        <x:v>0.022819646995689204</x:v>
      </x:c>
      <x:c r="U180" s="8" t="n">
        <x:f>(C180-R180)^2</x:f>
        <x:v>0.04251248803911149</x:v>
      </x:c>
    </x:row>
    <x:row r="181" ht="28" customHeight="1">
      <x:c r="A181" s="4" t="str">
        <x:v>UCSD-PTGBM-0133_02</x:v>
      </x:c>
      <x:c r="B181" s="4" t="str">
        <x:v>UCSD-PTGBM-0133</x:v>
      </x:c>
      <x:c r="C181" s="6" t="n">
        <x:v>1</x:v>
      </x:c>
      <x:c r="D181" s="4" t="str">
        <x:v>derived_from_published_243_equals_192_plus_51_partition</x:v>
      </x:c>
      <x:c r="E181" s="4"/>
      <x:c r="F181" s="6" t="n">
        <x:v>62</x:v>
      </x:c>
      <x:c r="G181" s="4" t="str">
        <x:v>Male</x:v>
      </x:c>
      <x:c r="H181" s="6" t="n">
        <x:v>1</x:v>
      </x:c>
      <x:c r="I181" s="4" t="str">
        <x:v>Glioblastoma</x:v>
      </x:c>
      <x:c r="J181" s="6" t="n">
        <x:v>0</x:v>
      </x:c>
      <x:c r="K181" s="6" t="n">
        <x:v>181</x:v>
      </x:c>
      <x:c r="L181" s="6"/>
      <x:c r="M181" s="6" t="n">
        <x:v>1</x:v>
      </x:c>
      <x:c r="N181" s="6" t="n">
        <x:v>1</x:v>
      </x:c>
      <x:c r="O181" s="4" t="str">
        <x:v>source_HGG_collection; complete_age_sex; broad_partition_label</x:v>
      </x:c>
      <x:c r="P181" s="6" t="n">
        <x:v>4</x:v>
      </x:c>
      <x:c r="Q181" s="8" t="n">
        <x:v>0.8489382676</x:v>
      </x:c>
      <x:c r="R181" s="8" t="n">
        <x:v>0.793814433</x:v>
      </x:c>
      <x:c r="S181" s="6" t="n">
        <x:v>1</x:v>
      </x:c>
      <x:c r="T181" s="8" t="n">
        <x:f>(C181-Q181)^2</x:f>
        <x:v>0.022819646995689204</x:v>
      </x:c>
      <x:c r="U181" s="8" t="n">
        <x:f>(C181-R181)^2</x:f>
        <x:v>0.04251248803911149</x:v>
      </x:c>
    </x:row>
    <x:row r="182" ht="28" customHeight="1">
      <x:c r="A182" s="4" t="str">
        <x:v>UCSD-PTGBM-0134_01</x:v>
      </x:c>
      <x:c r="B182" s="4" t="str">
        <x:v>UCSD-PTGBM-0134</x:v>
      </x:c>
      <x:c r="C182" s="6" t="n">
        <x:v>0</x:v>
      </x:c>
      <x:c r="D182" s="4" t="str">
        <x:v>explicit_negative_case_list</x:v>
      </x:c>
      <x:c r="E182" s="4" t="str">
        <x:v>NS</x:v>
      </x:c>
      <x:c r="F182" s="6" t="n">
        <x:v>45</x:v>
      </x:c>
      <x:c r="G182" s="4" t="str">
        <x:v>Female</x:v>
      </x:c>
      <x:c r="H182" s="6" t="n">
        <x:v>0</x:v>
      </x:c>
      <x:c r="I182" s="4" t="str">
        <x:v>Oligoastrocytoma</x:v>
      </x:c>
      <x:c r="J182" s="6" t="n">
        <x:v>0</x:v>
      </x:c>
      <x:c r="K182" s="6" t="n">
        <x:v>182</x:v>
      </x:c>
      <x:c r="L182" s="6" t="n">
        <x:v>37</x:v>
      </x:c>
      <x:c r="M182" s="6" t="n">
        <x:v>1</x:v>
      </x:c>
      <x:c r="N182" s="6" t="n">
        <x:v>1</x:v>
      </x:c>
      <x:c r="O182" s="4" t="str">
        <x:v>source_HGG_collection; complete_age_sex; broad_partition_label</x:v>
      </x:c>
      <x:c r="P182" s="6" t="n">
        <x:v>1</x:v>
      </x:c>
      <x:c r="Q182" s="8" t="n">
        <x:v>0.723209919</x:v>
      </x:c>
      <x:c r="R182" s="8" t="n">
        <x:v>0.7897435897</x:v>
      </x:c>
      <x:c r="S182" s="6" t="n">
        <x:v>1</x:v>
      </x:c>
      <x:c r="T182" s="8" t="n">
        <x:f>(C182-Q182)^2</x:f>
        <x:v>0.5230325869399866</x:v>
      </x:c>
      <x:c r="U182" s="8" t="n">
        <x:f>(C182-R182)^2</x:f>
        <x:v>0.623694937472242</x:v>
      </x:c>
    </x:row>
    <x:row r="183" ht="28" customHeight="1">
      <x:c r="A183" s="4" t="str">
        <x:v>UCSD-PTGBM-0135_01</x:v>
      </x:c>
      <x:c r="B183" s="4" t="str">
        <x:v>UCSD-PTGBM-0135</x:v>
      </x:c>
      <x:c r="C183" s="6" t="n">
        <x:v>1</x:v>
      </x:c>
      <x:c r="D183" s="4" t="str">
        <x:v>derived_from_published_243_equals_192_plus_51_partition</x:v>
      </x:c>
      <x:c r="E183" s="4"/>
      <x:c r="F183" s="6" t="n">
        <x:v>39</x:v>
      </x:c>
      <x:c r="G183" s="4" t="str">
        <x:v>Male</x:v>
      </x:c>
      <x:c r="H183" s="6" t="n">
        <x:v>1</x:v>
      </x:c>
      <x:c r="I183" s="4" t="str">
        <x:v>Glioblastoma</x:v>
      </x:c>
      <x:c r="J183" s="6" t="n">
        <x:v>0</x:v>
      </x:c>
      <x:c r="K183" s="6" t="n">
        <x:v>183</x:v>
      </x:c>
      <x:c r="L183" s="6"/>
      <x:c r="M183" s="6" t="n">
        <x:v>1</x:v>
      </x:c>
      <x:c r="N183" s="6" t="n">
        <x:v>1</x:v>
      </x:c>
      <x:c r="O183" s="4" t="str">
        <x:v>source_HGG_collection; complete_age_sex; broad_partition_label</x:v>
      </x:c>
      <x:c r="P183" s="6" t="n">
        <x:v>4</x:v>
      </x:c>
      <x:c r="Q183" s="8" t="n">
        <x:v>0.7488539464</x:v>
      </x:c>
      <x:c r="R183" s="8" t="n">
        <x:v>0.793814433</x:v>
      </x:c>
      <x:c r="S183" s="6" t="n">
        <x:v>1</x:v>
      </x:c>
      <x:c r="T183" s="8" t="n">
        <x:f>(C183-Q183)^2</x:f>
        <x:v>0.06307434023885405</x:v>
      </x:c>
      <x:c r="U183" s="8" t="n">
        <x:f>(C183-R183)^2</x:f>
        <x:v>0.04251248803911149</x:v>
      </x:c>
    </x:row>
    <x:row r="184" ht="28" customHeight="1">
      <x:c r="A184" s="4" t="str">
        <x:v>UCSD-PTGBM-0135_02</x:v>
      </x:c>
      <x:c r="B184" s="4" t="str">
        <x:v>UCSD-PTGBM-0135</x:v>
      </x:c>
      <x:c r="C184" s="6" t="n">
        <x:v>0</x:v>
      </x:c>
      <x:c r="D184" s="4" t="str">
        <x:v>explicit_negative_case_list</x:v>
      </x:c>
      <x:c r="E184" s="4" t="str">
        <x:v>NS</x:v>
      </x:c>
      <x:c r="F184" s="6" t="n">
        <x:v>39</x:v>
      </x:c>
      <x:c r="G184" s="4" t="str">
        <x:v>Male</x:v>
      </x:c>
      <x:c r="H184" s="6" t="n">
        <x:v>1</x:v>
      </x:c>
      <x:c r="I184" s="4" t="str">
        <x:v>Glioblastoma</x:v>
      </x:c>
      <x:c r="J184" s="6" t="n">
        <x:v>0</x:v>
      </x:c>
      <x:c r="K184" s="6" t="n">
        <x:v>184</x:v>
      </x:c>
      <x:c r="L184" s="6" t="n">
        <x:v>38</x:v>
      </x:c>
      <x:c r="M184" s="6" t="n">
        <x:v>1</x:v>
      </x:c>
      <x:c r="N184" s="6" t="n">
        <x:v>1</x:v>
      </x:c>
      <x:c r="O184" s="4" t="str">
        <x:v>source_HGG_collection; complete_age_sex; broad_partition_label</x:v>
      </x:c>
      <x:c r="P184" s="6" t="n">
        <x:v>4</x:v>
      </x:c>
      <x:c r="Q184" s="8" t="n">
        <x:v>0.7488539464</x:v>
      </x:c>
      <x:c r="R184" s="8" t="n">
        <x:v>0.793814433</x:v>
      </x:c>
      <x:c r="S184" s="6" t="n">
        <x:v>1</x:v>
      </x:c>
      <x:c r="T184" s="8" t="n">
        <x:f>(C184-Q184)^2</x:f>
        <x:v>0.5607822330388541</x:v>
      </x:c>
      <x:c r="U184" s="8" t="n">
        <x:f>(C184-R184)^2</x:f>
        <x:v>0.6301413540391114</x:v>
      </x:c>
    </x:row>
    <x:row r="185" ht="28" customHeight="1">
      <x:c r="A185" s="4" t="str">
        <x:v>UCSD-PTGBM-0135_03</x:v>
      </x:c>
      <x:c r="B185" s="4" t="str">
        <x:v>UCSD-PTGBM-0135</x:v>
      </x:c>
      <x:c r="C185" s="6" t="n">
        <x:v>0</x:v>
      </x:c>
      <x:c r="D185" s="4" t="str">
        <x:v>explicit_negative_case_list</x:v>
      </x:c>
      <x:c r="E185" s="4" t="str">
        <x:v>NS</x:v>
      </x:c>
      <x:c r="F185" s="6" t="n">
        <x:v>39</x:v>
      </x:c>
      <x:c r="G185" s="4" t="str">
        <x:v>Male</x:v>
      </x:c>
      <x:c r="H185" s="6" t="n">
        <x:v>1</x:v>
      </x:c>
      <x:c r="I185" s="4" t="str">
        <x:v>Glioblastoma</x:v>
      </x:c>
      <x:c r="J185" s="6" t="n">
        <x:v>0</x:v>
      </x:c>
      <x:c r="K185" s="6" t="n">
        <x:v>185</x:v>
      </x:c>
      <x:c r="L185" s="6" t="n">
        <x:v>39</x:v>
      </x:c>
      <x:c r="M185" s="6" t="n">
        <x:v>1</x:v>
      </x:c>
      <x:c r="N185" s="6" t="n">
        <x:v>1</x:v>
      </x:c>
      <x:c r="O185" s="4" t="str">
        <x:v>source_HGG_collection; complete_age_sex; broad_partition_label</x:v>
      </x:c>
      <x:c r="P185" s="6" t="n">
        <x:v>4</x:v>
      </x:c>
      <x:c r="Q185" s="8" t="n">
        <x:v>0.7488539464</x:v>
      </x:c>
      <x:c r="R185" s="8" t="n">
        <x:v>0.793814433</x:v>
      </x:c>
      <x:c r="S185" s="6" t="n">
        <x:v>1</x:v>
      </x:c>
      <x:c r="T185" s="8" t="n">
        <x:f>(C185-Q185)^2</x:f>
        <x:v>0.5607822330388541</x:v>
      </x:c>
      <x:c r="U185" s="8" t="n">
        <x:f>(C185-R185)^2</x:f>
        <x:v>0.6301413540391114</x:v>
      </x:c>
    </x:row>
    <x:row r="186" ht="28" customHeight="1">
      <x:c r="A186" s="4" t="str">
        <x:v>UCSD-PTGBM-0136_01</x:v>
      </x:c>
      <x:c r="B186" s="4" t="str">
        <x:v>UCSD-PTGBM-0136</x:v>
      </x:c>
      <x:c r="C186" s="6" t="n">
        <x:v>1</x:v>
      </x:c>
      <x:c r="D186" s="4" t="str">
        <x:v>derived_from_published_243_equals_192_plus_51_partition</x:v>
      </x:c>
      <x:c r="E186" s="4"/>
      <x:c r="F186" s="6" t="n">
        <x:v>49</x:v>
      </x:c>
      <x:c r="G186" s="4" t="str">
        <x:v>Male</x:v>
      </x:c>
      <x:c r="H186" s="6" t="n">
        <x:v>1</x:v>
      </x:c>
      <x:c r="I186" s="4" t="str">
        <x:v>Glioblastoma</x:v>
      </x:c>
      <x:c r="J186" s="6" t="n">
        <x:v>0</x:v>
      </x:c>
      <x:c r="K186" s="6" t="n">
        <x:v>186</x:v>
      </x:c>
      <x:c r="L186" s="6"/>
      <x:c r="M186" s="6" t="n">
        <x:v>1</x:v>
      </x:c>
      <x:c r="N186" s="6" t="n">
        <x:v>1</x:v>
      </x:c>
      <x:c r="O186" s="4" t="str">
        <x:v>source_HGG_collection; complete_age_sex; broad_partition_label</x:v>
      </x:c>
      <x:c r="P186" s="6" t="n">
        <x:v>5</x:v>
      </x:c>
      <x:c r="Q186" s="8" t="n">
        <x:v>0.7698440944</x:v>
      </x:c>
      <x:c r="R186" s="8" t="n">
        <x:v>0.7875647668</x:v>
      </x:c>
      <x:c r="S186" s="6" t="n">
        <x:v>1</x:v>
      </x:c>
      <x:c r="T186" s="8" t="n">
        <x:f>(C186-Q186)^2</x:f>
        <x:v>0.05297174088255611</x:v>
      </x:c>
      <x:c r="U186" s="8" t="n">
        <x:f>(C186-R186)^2</x:f>
        <x:v>0.04512872830473839</x:v>
      </x:c>
    </x:row>
    <x:row r="187" ht="28" customHeight="1">
      <x:c r="A187" s="4" t="str">
        <x:v>UCSD-PTGBM-0137_01</x:v>
      </x:c>
      <x:c r="B187" s="4" t="str">
        <x:v>UCSD-PTGBM-0137</x:v>
      </x:c>
      <x:c r="C187" s="6" t="n">
        <x:v>1</x:v>
      </x:c>
      <x:c r="D187" s="4" t="str">
        <x:v>derived_from_published_243_equals_192_plus_51_partition</x:v>
      </x:c>
      <x:c r="E187" s="4"/>
      <x:c r="F187" s="6" t="n">
        <x:v>62</x:v>
      </x:c>
      <x:c r="G187" s="4" t="str">
        <x:v>Male</x:v>
      </x:c>
      <x:c r="H187" s="6" t="n">
        <x:v>1</x:v>
      </x:c>
      <x:c r="I187" s="4" t="str">
        <x:v>Glioblastoma</x:v>
      </x:c>
      <x:c r="J187" s="6" t="n">
        <x:v>0</x:v>
      </x:c>
      <x:c r="K187" s="6" t="n">
        <x:v>187</x:v>
      </x:c>
      <x:c r="L187" s="6"/>
      <x:c r="M187" s="6" t="n">
        <x:v>1</x:v>
      </x:c>
      <x:c r="N187" s="6" t="n">
        <x:v>1</x:v>
      </x:c>
      <x:c r="O187" s="4" t="str">
        <x:v>source_HGG_collection; complete_age_sex; broad_partition_label</x:v>
      </x:c>
      <x:c r="P187" s="6" t="n">
        <x:v>1</x:v>
      </x:c>
      <x:c r="Q187" s="8" t="n">
        <x:v>0.8400736162</x:v>
      </x:c>
      <x:c r="R187" s="8" t="n">
        <x:v>0.7897435897</x:v>
      </x:c>
      <x:c r="S187" s="6" t="n">
        <x:v>1</x:v>
      </x:c>
      <x:c r="T187" s="8" t="n">
        <x:f>(C187-Q187)^2</x:f>
        <x:v>0.02557644823534491</x:v>
      </x:c>
      <x:c r="U187" s="8" t="n">
        <x:f>(C187-R187)^2</x:f>
        <x:v>0.044207758072241934</x:v>
      </x:c>
    </x:row>
    <x:row r="188" ht="28" customHeight="1">
      <x:c r="A188" s="4" t="str">
        <x:v>UCSD-PTGBM-0137_02</x:v>
      </x:c>
      <x:c r="B188" s="4" t="str">
        <x:v>UCSD-PTGBM-0137</x:v>
      </x:c>
      <x:c r="C188" s="6" t="n">
        <x:v>1</x:v>
      </x:c>
      <x:c r="D188" s="4" t="str">
        <x:v>derived_from_published_243_equals_192_plus_51_partition</x:v>
      </x:c>
      <x:c r="E188" s="4"/>
      <x:c r="F188" s="6" t="n">
        <x:v>62</x:v>
      </x:c>
      <x:c r="G188" s="4" t="str">
        <x:v>Male</x:v>
      </x:c>
      <x:c r="H188" s="6" t="n">
        <x:v>1</x:v>
      </x:c>
      <x:c r="I188" s="4" t="str">
        <x:v>Glioblastoma</x:v>
      </x:c>
      <x:c r="J188" s="6" t="n">
        <x:v>0</x:v>
      </x:c>
      <x:c r="K188" s="6" t="n">
        <x:v>188</x:v>
      </x:c>
      <x:c r="L188" s="6"/>
      <x:c r="M188" s="6" t="n">
        <x:v>1</x:v>
      </x:c>
      <x:c r="N188" s="6" t="n">
        <x:v>1</x:v>
      </x:c>
      <x:c r="O188" s="4" t="str">
        <x:v>source_HGG_collection; complete_age_sex; broad_partition_label</x:v>
      </x:c>
      <x:c r="P188" s="6" t="n">
        <x:v>1</x:v>
      </x:c>
      <x:c r="Q188" s="8" t="n">
        <x:v>0.8400736162</x:v>
      </x:c>
      <x:c r="R188" s="8" t="n">
        <x:v>0.7897435897</x:v>
      </x:c>
      <x:c r="S188" s="6" t="n">
        <x:v>1</x:v>
      </x:c>
      <x:c r="T188" s="8" t="n">
        <x:f>(C188-Q188)^2</x:f>
        <x:v>0.02557644823534491</x:v>
      </x:c>
      <x:c r="U188" s="8" t="n">
        <x:f>(C188-R188)^2</x:f>
        <x:v>0.044207758072241934</x:v>
      </x:c>
    </x:row>
    <x:row r="189" ht="28" customHeight="1">
      <x:c r="A189" s="4" t="str">
        <x:v>UCSD-PTGBM-0138_01</x:v>
      </x:c>
      <x:c r="B189" s="4" t="str">
        <x:v>UCSD-PTGBM-0138</x:v>
      </x:c>
      <x:c r="C189" s="6" t="n">
        <x:v>1</x:v>
      </x:c>
      <x:c r="D189" s="4" t="str">
        <x:v>derived_from_published_243_equals_192_plus_51_partition</x:v>
      </x:c>
      <x:c r="E189" s="4"/>
      <x:c r="F189" s="6" t="n">
        <x:v>68</x:v>
      </x:c>
      <x:c r="G189" s="4" t="str">
        <x:v>Female</x:v>
      </x:c>
      <x:c r="H189" s="6" t="n">
        <x:v>0</x:v>
      </x:c>
      <x:c r="I189" s="4" t="str">
        <x:v>Glioblastoma</x:v>
      </x:c>
      <x:c r="J189" s="6" t="n">
        <x:v>0</x:v>
      </x:c>
      <x:c r="K189" s="6" t="n">
        <x:v>189</x:v>
      </x:c>
      <x:c r="L189" s="6"/>
      <x:c r="M189" s="6" t="n">
        <x:v>1</x:v>
      </x:c>
      <x:c r="N189" s="6" t="n">
        <x:v>1</x:v>
      </x:c>
      <x:c r="O189" s="4" t="str">
        <x:v>source_HGG_collection; complete_age_sex; broad_partition_label</x:v>
      </x:c>
      <x:c r="P189" s="6" t="n">
        <x:v>4</x:v>
      </x:c>
      <x:c r="Q189" s="8" t="n">
        <x:v>0.8054049882</x:v>
      </x:c>
      <x:c r="R189" s="8" t="n">
        <x:v>0.793814433</x:v>
      </x:c>
      <x:c r="S189" s="6" t="n">
        <x:v>1</x:v>
      </x:c>
      <x:c r="T189" s="8" t="n">
        <x:f>(C189-Q189)^2</x:f>
        <x:v>0.03786721861744216</x:v>
      </x:c>
      <x:c r="U189" s="8" t="n">
        <x:f>(C189-R189)^2</x:f>
        <x:v>0.04251248803911149</x:v>
      </x:c>
    </x:row>
    <x:row r="190" ht="28" customHeight="1">
      <x:c r="A190" s="4" t="str">
        <x:v>UCSD-PTGBM-0139_01</x:v>
      </x:c>
      <x:c r="B190" s="4" t="str">
        <x:v>UCSD-PTGBM-0139</x:v>
      </x:c>
      <x:c r="C190" s="6" t="n">
        <x:v>1</x:v>
      </x:c>
      <x:c r="D190" s="4" t="str">
        <x:v>derived_from_published_243_equals_192_plus_51_partition</x:v>
      </x:c>
      <x:c r="E190" s="4"/>
      <x:c r="F190" s="6" t="n">
        <x:v>69</x:v>
      </x:c>
      <x:c r="G190" s="4" t="str">
        <x:v>Male</x:v>
      </x:c>
      <x:c r="H190" s="6" t="n">
        <x:v>1</x:v>
      </x:c>
      <x:c r="I190" s="4" t="str">
        <x:v>Glioblastoma</x:v>
      </x:c>
      <x:c r="J190" s="6" t="n">
        <x:v>0</x:v>
      </x:c>
      <x:c r="K190" s="6" t="n">
        <x:v>190</x:v>
      </x:c>
      <x:c r="L190" s="6"/>
      <x:c r="M190" s="6" t="n">
        <x:v>1</x:v>
      </x:c>
      <x:c r="N190" s="6" t="n">
        <x:v>1</x:v>
      </x:c>
      <x:c r="O190" s="4" t="str">
        <x:v>source_HGG_collection; complete_age_sex; broad_partition_label</x:v>
      </x:c>
      <x:c r="P190" s="6" t="n">
        <x:v>4</x:v>
      </x:c>
      <x:c r="Q190" s="8" t="n">
        <x:v>0.872048089</x:v>
      </x:c>
      <x:c r="R190" s="8" t="n">
        <x:v>0.793814433</x:v>
      </x:c>
      <x:c r="S190" s="6" t="n">
        <x:v>1</x:v>
      </x:c>
      <x:c r="T190" s="8" t="n">
        <x:f>(C190-Q190)^2</x:f>
        <x:v>0.01637169152855193</x:v>
      </x:c>
      <x:c r="U190" s="8" t="n">
        <x:f>(C190-R190)^2</x:f>
        <x:v>0.04251248803911149</x:v>
      </x:c>
    </x:row>
    <x:row r="191" ht="28" customHeight="1">
      <x:c r="A191" s="4" t="str">
        <x:v>UCSD-PTGBM-0140_01</x:v>
      </x:c>
      <x:c r="B191" s="4" t="str">
        <x:v>UCSD-PTGBM-0140</x:v>
      </x:c>
      <x:c r="C191" s="6" t="n">
        <x:v>1</x:v>
      </x:c>
      <x:c r="D191" s="4" t="str">
        <x:v>derived_from_published_243_equals_192_plus_51_partition</x:v>
      </x:c>
      <x:c r="E191" s="4"/>
      <x:c r="F191" s="6" t="n">
        <x:v>22</x:v>
      </x:c>
      <x:c r="G191" s="4" t="str">
        <x:v>Male</x:v>
      </x:c>
      <x:c r="H191" s="6" t="n">
        <x:v>1</x:v>
      </x:c>
      <x:c r="I191" s="4" t="str">
        <x:v>Glioblastoma</x:v>
      </x:c>
      <x:c r="J191" s="6" t="n">
        <x:v>0</x:v>
      </x:c>
      <x:c r="K191" s="6" t="n">
        <x:v>191</x:v>
      </x:c>
      <x:c r="L191" s="6"/>
      <x:c r="M191" s="6" t="n">
        <x:v>1</x:v>
      </x:c>
      <x:c r="N191" s="6" t="n">
        <x:v>1</x:v>
      </x:c>
      <x:c r="O191" s="4" t="str">
        <x:v>source_HGG_collection; complete_age_sex; broad_partition_label</x:v>
      </x:c>
      <x:c r="P191" s="6" t="n">
        <x:v>2</x:v>
      </x:c>
      <x:c r="Q191" s="8" t="n">
        <x:v>0.6867434345</x:v>
      </x:c>
      <x:c r="R191" s="8" t="n">
        <x:v>0.7897435897</x:v>
      </x:c>
      <x:c r="S191" s="6" t="n">
        <x:v>1</x:v>
      </x:c>
      <x:c r="T191" s="8" t="n">
        <x:f>(C191-Q191)^2</x:f>
        <x:v>0.0981296758288558</x:v>
      </x:c>
      <x:c r="U191" s="8" t="n">
        <x:f>(C191-R191)^2</x:f>
        <x:v>0.044207758072241934</x:v>
      </x:c>
    </x:row>
    <x:row r="192" ht="28" customHeight="1">
      <x:c r="A192" s="4" t="str">
        <x:v>UCSD-PTGBM-0140_02</x:v>
      </x:c>
      <x:c r="B192" s="4" t="str">
        <x:v>UCSD-PTGBM-0140</x:v>
      </x:c>
      <x:c r="C192" s="6" t="n">
        <x:v>0</x:v>
      </x:c>
      <x:c r="D192" s="4" t="str">
        <x:v>explicit_negative_case_list</x:v>
      </x:c>
      <x:c r="E192" s="4" t="str">
        <x:v>NS</x:v>
      </x:c>
      <x:c r="F192" s="6" t="n">
        <x:v>22</x:v>
      </x:c>
      <x:c r="G192" s="4" t="str">
        <x:v>Male</x:v>
      </x:c>
      <x:c r="H192" s="6" t="n">
        <x:v>1</x:v>
      </x:c>
      <x:c r="I192" s="4" t="str">
        <x:v>Glioblastoma</x:v>
      </x:c>
      <x:c r="J192" s="6" t="n">
        <x:v>0</x:v>
      </x:c>
      <x:c r="K192" s="6" t="n">
        <x:v>192</x:v>
      </x:c>
      <x:c r="L192" s="6" t="n">
        <x:v>40</x:v>
      </x:c>
      <x:c r="M192" s="6" t="n">
        <x:v>1</x:v>
      </x:c>
      <x:c r="N192" s="6" t="n">
        <x:v>1</x:v>
      </x:c>
      <x:c r="O192" s="4" t="str">
        <x:v>source_HGG_collection; complete_age_sex; broad_partition_label</x:v>
      </x:c>
      <x:c r="P192" s="6" t="n">
        <x:v>2</x:v>
      </x:c>
      <x:c r="Q192" s="8" t="n">
        <x:v>0.6867434345</x:v>
      </x:c>
      <x:c r="R192" s="8" t="n">
        <x:v>0.7897435897</x:v>
      </x:c>
      <x:c r="S192" s="6" t="n">
        <x:v>1</x:v>
      </x:c>
      <x:c r="T192" s="8" t="n">
        <x:f>(C192-Q192)^2</x:f>
        <x:v>0.47161654482885573</x:v>
      </x:c>
      <x:c r="U192" s="8" t="n">
        <x:f>(C192-R192)^2</x:f>
        <x:v>0.623694937472242</x:v>
      </x:c>
    </x:row>
    <x:row r="193" ht="28" customHeight="1">
      <x:c r="A193" s="4" t="str">
        <x:v>UCSD-PTGBM-0141_01</x:v>
      </x:c>
      <x:c r="B193" s="4" t="str">
        <x:v>UCSD-PTGBM-0141</x:v>
      </x:c>
      <x:c r="C193" s="6" t="n">
        <x:v>1</x:v>
      </x:c>
      <x:c r="D193" s="4" t="str">
        <x:v>derived_from_published_243_equals_192_plus_51_partition</x:v>
      </x:c>
      <x:c r="E193" s="4"/>
      <x:c r="F193" s="6" t="n">
        <x:v>36</x:v>
      </x:c>
      <x:c r="G193" s="4" t="str">
        <x:v>Male</x:v>
      </x:c>
      <x:c r="H193" s="6" t="n">
        <x:v>1</x:v>
      </x:c>
      <x:c r="I193" s="4" t="str">
        <x:v>Glioblastoma</x:v>
      </x:c>
      <x:c r="J193" s="6" t="n">
        <x:v>0</x:v>
      </x:c>
      <x:c r="K193" s="6" t="n">
        <x:v>193</x:v>
      </x:c>
      <x:c r="L193" s="6"/>
      <x:c r="M193" s="6" t="n">
        <x:v>1</x:v>
      </x:c>
      <x:c r="N193" s="6" t="n">
        <x:v>1</x:v>
      </x:c>
      <x:c r="O193" s="4" t="str">
        <x:v>source_HGG_collection; complete_age_sex; broad_partition_label</x:v>
      </x:c>
      <x:c r="P193" s="6" t="n">
        <x:v>3</x:v>
      </x:c>
      <x:c r="Q193" s="8" t="n">
        <x:v>0.6728507219</x:v>
      </x:c>
      <x:c r="R193" s="8" t="n">
        <x:v>0.7897435897</x:v>
      </x:c>
      <x:c r="S193" s="6" t="n">
        <x:v>1</x:v>
      </x:c>
      <x:c r="T193" s="8" t="n">
        <x:f>(C193-Q193)^2</x:f>
        <x:v>0.10702665016135117</x:v>
      </x:c>
      <x:c r="U193" s="8" t="n">
        <x:f>(C193-R193)^2</x:f>
        <x:v>0.044207758072241934</x:v>
      </x:c>
    </x:row>
    <x:row r="194" ht="28" customHeight="1">
      <x:c r="A194" s="4" t="str">
        <x:v>UCSD-PTGBM-0142_01</x:v>
      </x:c>
      <x:c r="B194" s="4" t="str">
        <x:v>UCSD-PTGBM-0142</x:v>
      </x:c>
      <x:c r="C194" s="6" t="n">
        <x:v>1</x:v>
      </x:c>
      <x:c r="D194" s="4" t="str">
        <x:v>derived_from_published_243_equals_192_plus_51_partition</x:v>
      </x:c>
      <x:c r="E194" s="4"/>
      <x:c r="F194" s="6" t="n">
        <x:v>59</x:v>
      </x:c>
      <x:c r="G194" s="4" t="str">
        <x:v>Male</x:v>
      </x:c>
      <x:c r="H194" s="6" t="n">
        <x:v>1</x:v>
      </x:c>
      <x:c r="I194" s="4" t="str">
        <x:v>Glioblastoma</x:v>
      </x:c>
      <x:c r="J194" s="6" t="n">
        <x:v>0</x:v>
      </x:c>
      <x:c r="K194" s="6" t="n">
        <x:v>194</x:v>
      </x:c>
      <x:c r="L194" s="6"/>
      <x:c r="M194" s="6" t="n">
        <x:v>1</x:v>
      </x:c>
      <x:c r="N194" s="6" t="n">
        <x:v>1</x:v>
      </x:c>
      <x:c r="O194" s="4" t="str">
        <x:v>source_HGG_collection; complete_age_sex; broad_partition_label</x:v>
      </x:c>
      <x:c r="P194" s="6" t="n">
        <x:v>5</x:v>
      </x:c>
      <x:c r="Q194" s="8" t="n">
        <x:v>0.8157792807</x:v>
      </x:c>
      <x:c r="R194" s="8" t="n">
        <x:v>0.7875647668</x:v>
      </x:c>
      <x:c r="S194" s="6" t="n">
        <x:v>1</x:v>
      </x:c>
      <x:c r="T194" s="8" t="n">
        <x:f>(C194-Q194)^2</x:f>
        <x:v>0.03393727341940937</x:v>
      </x:c>
      <x:c r="U194" s="8" t="n">
        <x:f>(C194-R194)^2</x:f>
        <x:v>0.04512872830473839</x:v>
      </x:c>
    </x:row>
    <x:row r="195" ht="28" customHeight="1">
      <x:c r="A195" s="4" t="str">
        <x:v>UCSD-PTGBM-0143_01</x:v>
      </x:c>
      <x:c r="B195" s="4" t="str">
        <x:v>UCSD-PTGBM-0143</x:v>
      </x:c>
      <x:c r="C195" s="6" t="n">
        <x:v>1</x:v>
      </x:c>
      <x:c r="D195" s="4" t="str">
        <x:v>derived_from_published_243_equals_192_plus_51_partition</x:v>
      </x:c>
      <x:c r="E195" s="4"/>
      <x:c r="F195" s="6" t="n">
        <x:v>63</x:v>
      </x:c>
      <x:c r="G195" s="4" t="str">
        <x:v>Female</x:v>
      </x:c>
      <x:c r="H195" s="6" t="n">
        <x:v>0</x:v>
      </x:c>
      <x:c r="I195" s="4" t="str">
        <x:v>Glioblastoma</x:v>
      </x:c>
      <x:c r="J195" s="6" t="n">
        <x:v>0</x:v>
      </x:c>
      <x:c r="K195" s="6" t="n">
        <x:v>195</x:v>
      </x:c>
      <x:c r="L195" s="6"/>
      <x:c r="M195" s="6" t="n">
        <x:v>1</x:v>
      </x:c>
      <x:c r="N195" s="6" t="n">
        <x:v>1</x:v>
      </x:c>
      <x:c r="O195" s="4" t="str">
        <x:v>source_HGG_collection; complete_age_sex; broad_partition_label</x:v>
      </x:c>
      <x:c r="P195" s="6" t="n">
        <x:v>4</x:v>
      </x:c>
      <x:c r="Q195" s="8" t="n">
        <x:v>0.7828996059</x:v>
      </x:c>
      <x:c r="R195" s="8" t="n">
        <x:v>0.793814433</x:v>
      </x:c>
      <x:c r="S195" s="6" t="n">
        <x:v>1</x:v>
      </x:c>
      <x:c r="T195" s="8" t="n">
        <x:f>(C195-Q195)^2</x:f>
        <x:v>0.04713258111837533</x:v>
      </x:c>
      <x:c r="U195" s="8" t="n">
        <x:f>(C195-R195)^2</x:f>
        <x:v>0.04251248803911149</x:v>
      </x:c>
    </x:row>
    <x:row r="196" ht="28" customHeight="1">
      <x:c r="A196" s="4" t="str">
        <x:v>UCSD-PTGBM-0144_01</x:v>
      </x:c>
      <x:c r="B196" s="4" t="str">
        <x:v>UCSD-PTGBM-0144</x:v>
      </x:c>
      <x:c r="C196" s="6" t="n">
        <x:v>1</x:v>
      </x:c>
      <x:c r="D196" s="4" t="str">
        <x:v>derived_from_published_243_equals_192_plus_51_partition</x:v>
      </x:c>
      <x:c r="E196" s="4"/>
      <x:c r="F196" s="6" t="n">
        <x:v>45</x:v>
      </x:c>
      <x:c r="G196" s="4" t="str">
        <x:v>Male</x:v>
      </x:c>
      <x:c r="H196" s="6" t="n">
        <x:v>1</x:v>
      </x:c>
      <x:c r="I196" s="4" t="str">
        <x:v>Glioblastoma</x:v>
      </x:c>
      <x:c r="J196" s="6" t="n">
        <x:v>0</x:v>
      </x:c>
      <x:c r="K196" s="6" t="n">
        <x:v>196</x:v>
      </x:c>
      <x:c r="L196" s="6"/>
      <x:c r="M196" s="6" t="n">
        <x:v>1</x:v>
      </x:c>
      <x:c r="N196" s="6" t="n">
        <x:v>1</x:v>
      </x:c>
      <x:c r="O196" s="4" t="str">
        <x:v>source_HGG_collection; complete_age_sex; broad_partition_label</x:v>
      </x:c>
      <x:c r="P196" s="6" t="n">
        <x:v>4</x:v>
      </x:c>
      <x:c r="Q196" s="8" t="n">
        <x:v>0.7786549931</x:v>
      </x:c>
      <x:c r="R196" s="8" t="n">
        <x:v>0.793814433</x:v>
      </x:c>
      <x:c r="S196" s="6" t="n">
        <x:v>1</x:v>
      </x:c>
      <x:c r="T196" s="8" t="n">
        <x:f>(C196-Q196)^2</x:f>
        <x:v>0.04899361207956106</x:v>
      </x:c>
      <x:c r="U196" s="8" t="n">
        <x:f>(C196-R196)^2</x:f>
        <x:v>0.04251248803911149</x:v>
      </x:c>
    </x:row>
    <x:row r="197" ht="28" customHeight="1">
      <x:c r="A197" s="4" t="str">
        <x:v>UCSD-PTGBM-0144_02</x:v>
      </x:c>
      <x:c r="B197" s="4" t="str">
        <x:v>UCSD-PTGBM-0144</x:v>
      </x:c>
      <x:c r="C197" s="6" t="n">
        <x:v>1</x:v>
      </x:c>
      <x:c r="D197" s="4" t="str">
        <x:v>derived_from_published_243_equals_192_plus_51_partition</x:v>
      </x:c>
      <x:c r="E197" s="4"/>
      <x:c r="F197" s="6" t="n">
        <x:v>45</x:v>
      </x:c>
      <x:c r="G197" s="4" t="str">
        <x:v>Male</x:v>
      </x:c>
      <x:c r="H197" s="6" t="n">
        <x:v>1</x:v>
      </x:c>
      <x:c r="I197" s="4" t="str">
        <x:v>Glioblastoma</x:v>
      </x:c>
      <x:c r="J197" s="6" t="n">
        <x:v>0</x:v>
      </x:c>
      <x:c r="K197" s="6" t="n">
        <x:v>197</x:v>
      </x:c>
      <x:c r="L197" s="6"/>
      <x:c r="M197" s="6" t="n">
        <x:v>1</x:v>
      </x:c>
      <x:c r="N197" s="6" t="n">
        <x:v>1</x:v>
      </x:c>
      <x:c r="O197" s="4" t="str">
        <x:v>source_HGG_collection; complete_age_sex; broad_partition_label</x:v>
      </x:c>
      <x:c r="P197" s="6" t="n">
        <x:v>4</x:v>
      </x:c>
      <x:c r="Q197" s="8" t="n">
        <x:v>0.7786549931</x:v>
      </x:c>
      <x:c r="R197" s="8" t="n">
        <x:v>0.793814433</x:v>
      </x:c>
      <x:c r="S197" s="6" t="n">
        <x:v>1</x:v>
      </x:c>
      <x:c r="T197" s="8" t="n">
        <x:f>(C197-Q197)^2</x:f>
        <x:v>0.04899361207956106</x:v>
      </x:c>
      <x:c r="U197" s="8" t="n">
        <x:f>(C197-R197)^2</x:f>
        <x:v>0.04251248803911149</x:v>
      </x:c>
    </x:row>
    <x:row r="198" ht="28" customHeight="1">
      <x:c r="A198" s="4" t="str">
        <x:v>UCSD-PTGBM-0145_01</x:v>
      </x:c>
      <x:c r="B198" s="4" t="str">
        <x:v>UCSD-PTGBM-0145</x:v>
      </x:c>
      <x:c r="C198" s="6" t="n">
        <x:v>1</x:v>
      </x:c>
      <x:c r="D198" s="4" t="str">
        <x:v>derived_from_published_243_equals_192_plus_51_partition</x:v>
      </x:c>
      <x:c r="E198" s="4"/>
      <x:c r="F198" s="6" t="n">
        <x:v>51</x:v>
      </x:c>
      <x:c r="G198" s="4" t="str">
        <x:v>Male</x:v>
      </x:c>
      <x:c r="H198" s="6" t="n">
        <x:v>1</x:v>
      </x:c>
      <x:c r="I198" s="4" t="str">
        <x:v>Glioblastoma</x:v>
      </x:c>
      <x:c r="J198" s="6" t="n">
        <x:v>0</x:v>
      </x:c>
      <x:c r="K198" s="6" t="n">
        <x:v>198</x:v>
      </x:c>
      <x:c r="L198" s="6"/>
      <x:c r="M198" s="6" t="n">
        <x:v>1</x:v>
      </x:c>
      <x:c r="N198" s="6" t="n">
        <x:v>1</x:v>
      </x:c>
      <x:c r="O198" s="4" t="str">
        <x:v>source_HGG_collection; complete_age_sex; broad_partition_label</x:v>
      </x:c>
      <x:c r="P198" s="6" t="n">
        <x:v>5</x:v>
      </x:c>
      <x:c r="Q198" s="8" t="n">
        <x:v>0.7796360512</x:v>
      </x:c>
      <x:c r="R198" s="8" t="n">
        <x:v>0.7875647668</x:v>
      </x:c>
      <x:c r="S198" s="6" t="n">
        <x:v>1</x:v>
      </x:c>
      <x:c r="T198" s="8" t="n">
        <x:f>(C198-Q198)^2</x:f>
        <x:v>0.04856026993072902</x:v>
      </x:c>
      <x:c r="U198" s="8" t="n">
        <x:f>(C198-R198)^2</x:f>
        <x:v>0.04512872830473839</x:v>
      </x:c>
    </x:row>
    <x:row r="199" ht="28" customHeight="1">
      <x:c r="A199" s="4" t="str">
        <x:v>UCSD-PTGBM-0145_02</x:v>
      </x:c>
      <x:c r="B199" s="4" t="str">
        <x:v>UCSD-PTGBM-0145</x:v>
      </x:c>
      <x:c r="C199" s="6" t="n">
        <x:v>1</x:v>
      </x:c>
      <x:c r="D199" s="4" t="str">
        <x:v>derived_from_published_243_equals_192_plus_51_partition</x:v>
      </x:c>
      <x:c r="E199" s="4"/>
      <x:c r="F199" s="6" t="n">
        <x:v>51</x:v>
      </x:c>
      <x:c r="G199" s="4" t="str">
        <x:v>Male</x:v>
      </x:c>
      <x:c r="H199" s="6" t="n">
        <x:v>1</x:v>
      </x:c>
      <x:c r="I199" s="4" t="str">
        <x:v>Glioblastoma</x:v>
      </x:c>
      <x:c r="J199" s="6" t="n">
        <x:v>0</x:v>
      </x:c>
      <x:c r="K199" s="6" t="n">
        <x:v>199</x:v>
      </x:c>
      <x:c r="L199" s="6"/>
      <x:c r="M199" s="6" t="n">
        <x:v>1</x:v>
      </x:c>
      <x:c r="N199" s="6" t="n">
        <x:v>1</x:v>
      </x:c>
      <x:c r="O199" s="4" t="str">
        <x:v>source_HGG_collection; complete_age_sex; broad_partition_label</x:v>
      </x:c>
      <x:c r="P199" s="6" t="n">
        <x:v>5</x:v>
      </x:c>
      <x:c r="Q199" s="8" t="n">
        <x:v>0.7796360512</x:v>
      </x:c>
      <x:c r="R199" s="8" t="n">
        <x:v>0.7875647668</x:v>
      </x:c>
      <x:c r="S199" s="6" t="n">
        <x:v>1</x:v>
      </x:c>
      <x:c r="T199" s="8" t="n">
        <x:f>(C199-Q199)^2</x:f>
        <x:v>0.04856026993072902</x:v>
      </x:c>
      <x:c r="U199" s="8" t="n">
        <x:f>(C199-R199)^2</x:f>
        <x:v>0.04512872830473839</x:v>
      </x:c>
    </x:row>
    <x:row r="200" ht="28" customHeight="1">
      <x:c r="A200" s="4" t="str">
        <x:v>UCSD-PTGBM-0146_01</x:v>
      </x:c>
      <x:c r="B200" s="4" t="str">
        <x:v>UCSD-PTGBM-0146</x:v>
      </x:c>
      <x:c r="C200" s="6" t="n">
        <x:v>1</x:v>
      </x:c>
      <x:c r="D200" s="4" t="str">
        <x:v>derived_from_published_243_equals_192_plus_51_partition</x:v>
      </x:c>
      <x:c r="E200" s="4"/>
      <x:c r="F200" s="6" t="n">
        <x:v>51</x:v>
      </x:c>
      <x:c r="G200" s="4" t="str">
        <x:v>Male</x:v>
      </x:c>
      <x:c r="H200" s="6" t="n">
        <x:v>1</x:v>
      </x:c>
      <x:c r="I200" s="4" t="str">
        <x:v>Glioblastoma</x:v>
      </x:c>
      <x:c r="J200" s="6" t="n">
        <x:v>0</x:v>
      </x:c>
      <x:c r="K200" s="6" t="n">
        <x:v>200</x:v>
      </x:c>
      <x:c r="L200" s="6"/>
      <x:c r="M200" s="6" t="n">
        <x:v>1</x:v>
      </x:c>
      <x:c r="N200" s="6" t="n">
        <x:v>1</x:v>
      </x:c>
      <x:c r="O200" s="4" t="str">
        <x:v>source_HGG_collection; complete_age_sex; broad_partition_label</x:v>
      </x:c>
      <x:c r="P200" s="6" t="n">
        <x:v>5</x:v>
      </x:c>
      <x:c r="Q200" s="8" t="n">
        <x:v>0.7796360512</x:v>
      </x:c>
      <x:c r="R200" s="8" t="n">
        <x:v>0.7875647668</x:v>
      </x:c>
      <x:c r="S200" s="6" t="n">
        <x:v>1</x:v>
      </x:c>
      <x:c r="T200" s="8" t="n">
        <x:f>(C200-Q200)^2</x:f>
        <x:v>0.04856026993072902</x:v>
      </x:c>
      <x:c r="U200" s="8" t="n">
        <x:f>(C200-R200)^2</x:f>
        <x:v>0.04512872830473839</x:v>
      </x:c>
    </x:row>
    <x:row r="201" ht="28" customHeight="1">
      <x:c r="A201" s="4" t="str">
        <x:v>UCSD-PTGBM-0147_01</x:v>
      </x:c>
      <x:c r="B201" s="4" t="str">
        <x:v>UCSD-PTGBM-0147</x:v>
      </x:c>
      <x:c r="C201" s="6" t="n">
        <x:v>0</x:v>
      </x:c>
      <x:c r="D201" s="4" t="str">
        <x:v>explicit_negative_case_list</x:v>
      </x:c>
      <x:c r="E201" s="4" t="str">
        <x:v>Radiation necrosis</x:v>
      </x:c>
      <x:c r="F201" s="6" t="n">
        <x:v>49</x:v>
      </x:c>
      <x:c r="G201" s="4" t="str">
        <x:v>Female</x:v>
      </x:c>
      <x:c r="H201" s="6" t="n">
        <x:v>0</x:v>
      </x:c>
      <x:c r="I201" s="4" t="str">
        <x:v>Glioblastoma</x:v>
      </x:c>
      <x:c r="J201" s="6" t="n">
        <x:v>0</x:v>
      </x:c>
      <x:c r="K201" s="6" t="n">
        <x:v>201</x:v>
      </x:c>
      <x:c r="L201" s="6" t="n">
        <x:v>41</x:v>
      </x:c>
      <x:c r="M201" s="6" t="n">
        <x:v>1</x:v>
      </x:c>
      <x:c r="N201" s="6" t="n">
        <x:v>1</x:v>
      </x:c>
      <x:c r="O201" s="4" t="str">
        <x:v>source_HGG_collection; complete_age_sex; broad_partition_label</x:v>
      </x:c>
      <x:c r="P201" s="6" t="n">
        <x:v>4</x:v>
      </x:c>
      <x:c r="Q201" s="8" t="n">
        <x:v>0.7103038502</x:v>
      </x:c>
      <x:c r="R201" s="8" t="n">
        <x:v>0.793814433</x:v>
      </x:c>
      <x:c r="S201" s="6" t="n">
        <x:v>1</x:v>
      </x:c>
      <x:c r="T201" s="8" t="n">
        <x:f>(C201-Q201)^2</x:f>
        <x:v>0.504531559608944</x:v>
      </x:c>
      <x:c r="U201" s="8" t="n">
        <x:f>(C201-R201)^2</x:f>
        <x:v>0.6301413540391114</x:v>
      </x:c>
    </x:row>
    <x:row r="202" ht="28" customHeight="1">
      <x:c r="A202" s="4" t="str">
        <x:v>UCSD-PTGBM-0147_02</x:v>
      </x:c>
      <x:c r="B202" s="4" t="str">
        <x:v>UCSD-PTGBM-0147</x:v>
      </x:c>
      <x:c r="C202" s="6" t="n">
        <x:v>0</x:v>
      </x:c>
      <x:c r="D202" s="4" t="str">
        <x:v>explicit_negative_case_list</x:v>
      </x:c>
      <x:c r="E202" s="4" t="str">
        <x:v>Radiation necrosis</x:v>
      </x:c>
      <x:c r="F202" s="6" t="n">
        <x:v>49</x:v>
      </x:c>
      <x:c r="G202" s="4" t="str">
        <x:v>Female</x:v>
      </x:c>
      <x:c r="H202" s="6" t="n">
        <x:v>0</x:v>
      </x:c>
      <x:c r="I202" s="4" t="str">
        <x:v>Glioblastoma</x:v>
      </x:c>
      <x:c r="J202" s="6" t="n">
        <x:v>0</x:v>
      </x:c>
      <x:c r="K202" s="6" t="n">
        <x:v>202</x:v>
      </x:c>
      <x:c r="L202" s="6" t="n">
        <x:v>42</x:v>
      </x:c>
      <x:c r="M202" s="6" t="n">
        <x:v>1</x:v>
      </x:c>
      <x:c r="N202" s="6" t="n">
        <x:v>1</x:v>
      </x:c>
      <x:c r="O202" s="4" t="str">
        <x:v>source_HGG_collection; complete_age_sex; broad_partition_label</x:v>
      </x:c>
      <x:c r="P202" s="6" t="n">
        <x:v>4</x:v>
      </x:c>
      <x:c r="Q202" s="8" t="n">
        <x:v>0.7103038502</x:v>
      </x:c>
      <x:c r="R202" s="8" t="n">
        <x:v>0.793814433</x:v>
      </x:c>
      <x:c r="S202" s="6" t="n">
        <x:v>1</x:v>
      </x:c>
      <x:c r="T202" s="8" t="n">
        <x:f>(C202-Q202)^2</x:f>
        <x:v>0.504531559608944</x:v>
      </x:c>
      <x:c r="U202" s="8" t="n">
        <x:f>(C202-R202)^2</x:f>
        <x:v>0.6301413540391114</x:v>
      </x:c>
    </x:row>
    <x:row r="203" ht="28" customHeight="1">
      <x:c r="A203" s="4" t="str">
        <x:v>UCSD-PTGBM-0148_01</x:v>
      </x:c>
      <x:c r="B203" s="4" t="str">
        <x:v>UCSD-PTGBM-0148</x:v>
      </x:c>
      <x:c r="C203" s="6" t="n">
        <x:v>1</x:v>
      </x:c>
      <x:c r="D203" s="4" t="str">
        <x:v>derived_from_published_243_equals_192_plus_51_partition</x:v>
      </x:c>
      <x:c r="E203" s="4"/>
      <x:c r="F203" s="6" t="n">
        <x:v>72</x:v>
      </x:c>
      <x:c r="G203" s="4" t="str">
        <x:v>Female</x:v>
      </x:c>
      <x:c r="H203" s="6" t="n">
        <x:v>0</x:v>
      </x:c>
      <x:c r="I203" s="4" t="str">
        <x:v>Oligoastrocytoma</x:v>
      </x:c>
      <x:c r="J203" s="6" t="n">
        <x:v>0</x:v>
      </x:c>
      <x:c r="K203" s="6" t="n">
        <x:v>203</x:v>
      </x:c>
      <x:c r="L203" s="6"/>
      <x:c r="M203" s="6" t="n">
        <x:v>1</x:v>
      </x:c>
      <x:c r="N203" s="6" t="n">
        <x:v>1</x:v>
      </x:c>
      <x:c r="O203" s="4" t="str">
        <x:v>source_HGG_collection; complete_age_sex; broad_partition_label</x:v>
      </x:c>
      <x:c r="P203" s="6" t="n">
        <x:v>5</x:v>
      </x:c>
      <x:c r="Q203" s="8" t="n">
        <x:v>0.8539408528</x:v>
      </x:c>
      <x:c r="R203" s="8" t="n">
        <x:v>0.7875647668</x:v>
      </x:c>
      <x:c r="S203" s="6" t="n">
        <x:v>1</x:v>
      </x:c>
      <x:c r="T203" s="8" t="n">
        <x:f>(C203-Q203)^2</x:f>
        <x:v>0.021333274480791274</x:v>
      </x:c>
      <x:c r="U203" s="8" t="n">
        <x:f>(C203-R203)^2</x:f>
        <x:v>0.04512872830473839</x:v>
      </x:c>
    </x:row>
    <x:row r="204" ht="28" customHeight="1">
      <x:c r="A204" s="4" t="str">
        <x:v>UCSD-PTGBM-0149_01</x:v>
      </x:c>
      <x:c r="B204" s="4" t="str">
        <x:v>UCSD-PTGBM-0149</x:v>
      </x:c>
      <x:c r="C204" s="6" t="n">
        <x:v>1</x:v>
      </x:c>
      <x:c r="D204" s="4" t="str">
        <x:v>derived_from_published_243_equals_192_plus_51_partition</x:v>
      </x:c>
      <x:c r="E204" s="4"/>
      <x:c r="F204" s="6" t="n">
        <x:v>49</x:v>
      </x:c>
      <x:c r="G204" s="4" t="str">
        <x:v>Female</x:v>
      </x:c>
      <x:c r="H204" s="6" t="n">
        <x:v>0</x:v>
      </x:c>
      <x:c r="I204" s="4" t="str">
        <x:v>Glioblastoma</x:v>
      </x:c>
      <x:c r="J204" s="6" t="n">
        <x:v>0</x:v>
      </x:c>
      <x:c r="K204" s="6" t="n">
        <x:v>204</x:v>
      </x:c>
      <x:c r="L204" s="6"/>
      <x:c r="M204" s="6" t="n">
        <x:v>1</x:v>
      </x:c>
      <x:c r="N204" s="6" t="n">
        <x:v>1</x:v>
      </x:c>
      <x:c r="O204" s="4" t="str">
        <x:v>source_HGG_collection; complete_age_sex; broad_partition_label</x:v>
      </x:c>
      <x:c r="P204" s="6" t="n">
        <x:v>2</x:v>
      </x:c>
      <x:c r="Q204" s="8" t="n">
        <x:v>0.6980741693</x:v>
      </x:c>
      <x:c r="R204" s="8" t="n">
        <x:v>0.7897435897</x:v>
      </x:c>
      <x:c r="S204" s="6" t="n">
        <x:v>1</x:v>
      </x:c>
      <x:c r="T204" s="8" t="n">
        <x:f>(C204-Q204)^2</x:f>
        <x:v>0.09115920724388507</x:v>
      </x:c>
      <x:c r="U204" s="8" t="n">
        <x:f>(C204-R204)^2</x:f>
        <x:v>0.044207758072241934</x:v>
      </x:c>
    </x:row>
    <x:row r="205" ht="28" customHeight="1">
      <x:c r="A205" s="4" t="str">
        <x:v>UCSD-PTGBM-0149_02</x:v>
      </x:c>
      <x:c r="B205" s="4" t="str">
        <x:v>UCSD-PTGBM-0149</x:v>
      </x:c>
      <x:c r="C205" s="6" t="n">
        <x:v>1</x:v>
      </x:c>
      <x:c r="D205" s="4" t="str">
        <x:v>derived_from_published_243_equals_192_plus_51_partition</x:v>
      </x:c>
      <x:c r="E205" s="4"/>
      <x:c r="F205" s="6" t="n">
        <x:v>49</x:v>
      </x:c>
      <x:c r="G205" s="4" t="str">
        <x:v>Female</x:v>
      </x:c>
      <x:c r="H205" s="6" t="n">
        <x:v>0</x:v>
      </x:c>
      <x:c r="I205" s="4" t="str">
        <x:v>Glioblastoma</x:v>
      </x:c>
      <x:c r="J205" s="6" t="n">
        <x:v>0</x:v>
      </x:c>
      <x:c r="K205" s="6" t="n">
        <x:v>205</x:v>
      </x:c>
      <x:c r="L205" s="6"/>
      <x:c r="M205" s="6" t="n">
        <x:v>1</x:v>
      </x:c>
      <x:c r="N205" s="6" t="n">
        <x:v>1</x:v>
      </x:c>
      <x:c r="O205" s="4" t="str">
        <x:v>source_HGG_collection; complete_age_sex; broad_partition_label</x:v>
      </x:c>
      <x:c r="P205" s="6" t="n">
        <x:v>2</x:v>
      </x:c>
      <x:c r="Q205" s="8" t="n">
        <x:v>0.6980741693</x:v>
      </x:c>
      <x:c r="R205" s="8" t="n">
        <x:v>0.7897435897</x:v>
      </x:c>
      <x:c r="S205" s="6" t="n">
        <x:v>1</x:v>
      </x:c>
      <x:c r="T205" s="8" t="n">
        <x:f>(C205-Q205)^2</x:f>
        <x:v>0.09115920724388507</x:v>
      </x:c>
      <x:c r="U205" s="8" t="n">
        <x:f>(C205-R205)^2</x:f>
        <x:v>0.044207758072241934</x:v>
      </x:c>
    </x:row>
    <x:row r="206" ht="28" customHeight="1">
      <x:c r="A206" s="4" t="str">
        <x:v>UCSD-PTGBM-0150_01</x:v>
      </x:c>
      <x:c r="B206" s="4" t="str">
        <x:v>UCSD-PTGBM-0150</x:v>
      </x:c>
      <x:c r="C206" s="6" t="n">
        <x:v>1</x:v>
      </x:c>
      <x:c r="D206" s="4" t="str">
        <x:v>derived_from_published_243_equals_192_plus_51_partition</x:v>
      </x:c>
      <x:c r="E206" s="4"/>
      <x:c r="F206" s="6" t="n">
        <x:v>76</x:v>
      </x:c>
      <x:c r="G206" s="4" t="str">
        <x:v>Female</x:v>
      </x:c>
      <x:c r="H206" s="6" t="n">
        <x:v>0</x:v>
      </x:c>
      <x:c r="I206" s="4" t="str">
        <x:v>Glioblastoma</x:v>
      </x:c>
      <x:c r="J206" s="6" t="n">
        <x:v>0</x:v>
      </x:c>
      <x:c r="K206" s="6" t="n">
        <x:v>206</x:v>
      </x:c>
      <x:c r="L206" s="6"/>
      <x:c r="M206" s="6" t="n">
        <x:v>1</x:v>
      </x:c>
      <x:c r="N206" s="6" t="n">
        <x:v>1</x:v>
      </x:c>
      <x:c r="O206" s="4" t="str">
        <x:v>source_HGG_collection; complete_age_sex; broad_partition_label</x:v>
      </x:c>
      <x:c r="P206" s="6" t="n">
        <x:v>1</x:v>
      </x:c>
      <x:c r="Q206" s="8" t="n">
        <x:v>0.8668711611</x:v>
      </x:c>
      <x:c r="R206" s="8" t="n">
        <x:v>0.7897435897</x:v>
      </x:c>
      <x:c r="S206" s="6" t="n">
        <x:v>1</x:v>
      </x:c>
      <x:c r="T206" s="8" t="n">
        <x:f>(C206-Q206)^2</x:f>
        <x:v>0.017723287746862167</x:v>
      </x:c>
      <x:c r="U206" s="8" t="n">
        <x:f>(C206-R206)^2</x:f>
        <x:v>0.044207758072241934</x:v>
      </x:c>
    </x:row>
    <x:row r="207" ht="28" customHeight="1">
      <x:c r="A207" s="4" t="str">
        <x:v>UCSD-PTGBM-0150_02</x:v>
      </x:c>
      <x:c r="B207" s="4" t="str">
        <x:v>UCSD-PTGBM-0150</x:v>
      </x:c>
      <x:c r="C207" s="6" t="n">
        <x:v>0</x:v>
      </x:c>
      <x:c r="D207" s="4" t="str">
        <x:v>explicit_negative_case_list</x:v>
      </x:c>
      <x:c r="E207" s="4" t="str">
        <x:v>NS</x:v>
      </x:c>
      <x:c r="F207" s="6" t="n">
        <x:v>76</x:v>
      </x:c>
      <x:c r="G207" s="4" t="str">
        <x:v>Female</x:v>
      </x:c>
      <x:c r="H207" s="6" t="n">
        <x:v>0</x:v>
      </x:c>
      <x:c r="I207" s="4" t="str">
        <x:v>Glioblastoma</x:v>
      </x:c>
      <x:c r="J207" s="6" t="n">
        <x:v>0</x:v>
      </x:c>
      <x:c r="K207" s="6" t="n">
        <x:v>207</x:v>
      </x:c>
      <x:c r="L207" s="6" t="n">
        <x:v>43</x:v>
      </x:c>
      <x:c r="M207" s="6" t="n">
        <x:v>1</x:v>
      </x:c>
      <x:c r="N207" s="6" t="n">
        <x:v>1</x:v>
      </x:c>
      <x:c r="O207" s="4" t="str">
        <x:v>source_HGG_collection; complete_age_sex; broad_partition_label</x:v>
      </x:c>
      <x:c r="P207" s="6" t="n">
        <x:v>1</x:v>
      </x:c>
      <x:c r="Q207" s="8" t="n">
        <x:v>0.8668711611</x:v>
      </x:c>
      <x:c r="R207" s="8" t="n">
        <x:v>0.7897435897</x:v>
      </x:c>
      <x:c r="S207" s="6" t="n">
        <x:v>1</x:v>
      </x:c>
      <x:c r="T207" s="8" t="n">
        <x:f>(C207-Q207)^2</x:f>
        <x:v>0.7514656099468621</x:v>
      </x:c>
      <x:c r="U207" s="8" t="n">
        <x:f>(C207-R207)^2</x:f>
        <x:v>0.623694937472242</x:v>
      </x:c>
    </x:row>
    <x:row r="208" ht="28" customHeight="1">
      <x:c r="A208" s="4" t="str">
        <x:v>UCSD-PTGBM-0151_01</x:v>
      </x:c>
      <x:c r="B208" s="4" t="str">
        <x:v>UCSD-PTGBM-0151</x:v>
      </x:c>
      <x:c r="C208" s="6" t="n">
        <x:v>1</x:v>
      </x:c>
      <x:c r="D208" s="4" t="str">
        <x:v>derived_from_published_243_equals_192_plus_51_partition</x:v>
      </x:c>
      <x:c r="E208" s="4"/>
      <x:c r="F208" s="6" t="n">
        <x:v>57</x:v>
      </x:c>
      <x:c r="G208" s="4" t="str">
        <x:v>Male</x:v>
      </x:c>
      <x:c r="H208" s="6" t="n">
        <x:v>1</x:v>
      </x:c>
      <x:c r="I208" s="4" t="str">
        <x:v>Glioblastoma</x:v>
      </x:c>
      <x:c r="J208" s="6" t="n">
        <x:v>0</x:v>
      </x:c>
      <x:c r="K208" s="6" t="n">
        <x:v>208</x:v>
      </x:c>
      <x:c r="L208" s="6"/>
      <x:c r="M208" s="6" t="n">
        <x:v>1</x:v>
      </x:c>
      <x:c r="N208" s="6" t="n">
        <x:v>1</x:v>
      </x:c>
      <x:c r="O208" s="4" t="str">
        <x:v>source_HGG_collection; complete_age_sex; broad_partition_label</x:v>
      </x:c>
      <x:c r="P208" s="6" t="n">
        <x:v>2</x:v>
      </x:c>
      <x:c r="Q208" s="8" t="n">
        <x:v>0.8232089909</x:v>
      </x:c>
      <x:c r="R208" s="8" t="n">
        <x:v>0.7897435897</x:v>
      </x:c>
      <x:c r="S208" s="6" t="n">
        <x:v>1</x:v>
      </x:c>
      <x:c r="T208" s="8" t="n">
        <x:f>(C208-Q208)^2</x:f>
        <x:v>0.03125506089859629</x:v>
      </x:c>
      <x:c r="U208" s="8" t="n">
        <x:f>(C208-R208)^2</x:f>
        <x:v>0.044207758072241934</x:v>
      </x:c>
    </x:row>
    <x:row r="209" ht="28" customHeight="1">
      <x:c r="A209" s="4" t="str">
        <x:v>UCSD-PTGBM-0152_01</x:v>
      </x:c>
      <x:c r="B209" s="4" t="str">
        <x:v>UCSD-PTGBM-0152</x:v>
      </x:c>
      <x:c r="C209" s="6" t="n">
        <x:v>1</x:v>
      </x:c>
      <x:c r="D209" s="4" t="str">
        <x:v>derived_from_published_243_equals_192_plus_51_partition</x:v>
      </x:c>
      <x:c r="E209" s="4"/>
      <x:c r="F209" s="6" t="n">
        <x:v>44</x:v>
      </x:c>
      <x:c r="G209" s="4" t="str">
        <x:v>Male</x:v>
      </x:c>
      <x:c r="H209" s="6" t="n">
        <x:v>1</x:v>
      </x:c>
      <x:c r="I209" s="4" t="str">
        <x:v>Glioblastoma</x:v>
      </x:c>
      <x:c r="J209" s="6" t="n">
        <x:v>0</x:v>
      </x:c>
      <x:c r="K209" s="6" t="n">
        <x:v>209</x:v>
      </x:c>
      <x:c r="L209" s="6"/>
      <x:c r="M209" s="6" t="n">
        <x:v>1</x:v>
      </x:c>
      <x:c r="N209" s="6" t="n">
        <x:v>1</x:v>
      </x:c>
      <x:c r="O209" s="4" t="str">
        <x:v>source_HGG_collection; complete_age_sex; broad_partition_label</x:v>
      </x:c>
      <x:c r="P209" s="6" t="n">
        <x:v>2</x:v>
      </x:c>
      <x:c r="Q209" s="8" t="n">
        <x:v>0.7787580195</x:v>
      </x:c>
      <x:c r="R209" s="8" t="n">
        <x:v>0.7897435897</x:v>
      </x:c>
      <x:c r="S209" s="6" t="n">
        <x:v>1</x:v>
      </x:c>
      <x:c r="T209" s="8" t="n">
        <x:f>(C209-Q209)^2</x:f>
        <x:v>0.048948013935562376</x:v>
      </x:c>
      <x:c r="U209" s="8" t="n">
        <x:f>(C209-R209)^2</x:f>
        <x:v>0.044207758072241934</x:v>
      </x:c>
    </x:row>
    <x:row r="210" ht="28" customHeight="1">
      <x:c r="A210" s="4" t="str">
        <x:v>UCSD-PTGBM-0153_01</x:v>
      </x:c>
      <x:c r="B210" s="4" t="str">
        <x:v>UCSD-PTGBM-0153</x:v>
      </x:c>
      <x:c r="C210" s="6" t="n">
        <x:v>1</x:v>
      </x:c>
      <x:c r="D210" s="4" t="str">
        <x:v>derived_from_published_243_equals_192_plus_51_partition</x:v>
      </x:c>
      <x:c r="E210" s="4"/>
      <x:c r="F210" s="6" t="n">
        <x:v>56</x:v>
      </x:c>
      <x:c r="G210" s="4" t="str">
        <x:v>Female</x:v>
      </x:c>
      <x:c r="H210" s="6" t="n">
        <x:v>0</x:v>
      </x:c>
      <x:c r="I210" s="4" t="str">
        <x:v>Glioblastoma</x:v>
      </x:c>
      <x:c r="J210" s="6" t="n">
        <x:v>0</x:v>
      </x:c>
      <x:c r="K210" s="6" t="n">
        <x:v>210</x:v>
      </x:c>
      <x:c r="L210" s="6"/>
      <x:c r="M210" s="6" t="n">
        <x:v>1</x:v>
      </x:c>
      <x:c r="N210" s="6" t="n">
        <x:v>1</x:v>
      </x:c>
      <x:c r="O210" s="4" t="str">
        <x:v>source_HGG_collection; complete_age_sex; broad_partition_label</x:v>
      </x:c>
      <x:c r="P210" s="6" t="n">
        <x:v>3</x:v>
      </x:c>
      <x:c r="Q210" s="8" t="n">
        <x:v>0.7378156484</x:v>
      </x:c>
      <x:c r="R210" s="8" t="n">
        <x:v>0.7897435897</x:v>
      </x:c>
      <x:c r="S210" s="6" t="n">
        <x:v>1</x:v>
      </x:c>
      <x:c r="T210" s="8" t="n">
        <x:f>(C210-Q210)^2</x:f>
        <x:v>0.06874063422391241</x:v>
      </x:c>
      <x:c r="U210" s="8" t="n">
        <x:f>(C210-R210)^2</x:f>
        <x:v>0.044207758072241934</x:v>
      </x:c>
    </x:row>
    <x:row r="211" ht="28" customHeight="1">
      <x:c r="A211" s="4" t="str">
        <x:v>UCSD-PTGBM-0154_01</x:v>
      </x:c>
      <x:c r="B211" s="4" t="str">
        <x:v>UCSD-PTGBM-0154</x:v>
      </x:c>
      <x:c r="C211" s="6" t="n">
        <x:v>1</x:v>
      </x:c>
      <x:c r="D211" s="4" t="str">
        <x:v>derived_from_published_243_equals_192_plus_51_partition</x:v>
      </x:c>
      <x:c r="E211" s="4"/>
      <x:c r="F211" s="6" t="n">
        <x:v>61</x:v>
      </x:c>
      <x:c r="G211" s="4" t="str">
        <x:v>Male</x:v>
      </x:c>
      <x:c r="H211" s="6" t="n">
        <x:v>1</x:v>
      </x:c>
      <x:c r="I211" s="4" t="str">
        <x:v>Glioblastoma</x:v>
      </x:c>
      <x:c r="J211" s="6" t="n">
        <x:v>0</x:v>
      </x:c>
      <x:c r="K211" s="6" t="n">
        <x:v>211</x:v>
      </x:c>
      <x:c r="L211" s="6"/>
      <x:c r="M211" s="6" t="n">
        <x:v>1</x:v>
      </x:c>
      <x:c r="N211" s="6" t="n">
        <x:v>1</x:v>
      </x:c>
      <x:c r="O211" s="4" t="str">
        <x:v>source_HGG_collection; complete_age_sex; broad_partition_label</x:v>
      </x:c>
      <x:c r="P211" s="6" t="n">
        <x:v>5</x:v>
      </x:c>
      <x:c r="Q211" s="8" t="n">
        <x:v>0.8240635581</x:v>
      </x:c>
      <x:c r="R211" s="8" t="n">
        <x:v>0.7875647668</x:v>
      </x:c>
      <x:c r="S211" s="6" t="n">
        <x:v>1</x:v>
      </x:c>
      <x:c r="T211" s="8" t="n">
        <x:f>(C211-Q211)^2</x:f>
        <x:v>0.030953631588432083</x:v>
      </x:c>
      <x:c r="U211" s="8" t="n">
        <x:f>(C211-R211)^2</x:f>
        <x:v>0.04512872830473839</x:v>
      </x:c>
    </x:row>
    <x:row r="212" ht="28" customHeight="1">
      <x:c r="A212" s="4" t="str">
        <x:v>UCSD-PTGBM-0155_01</x:v>
      </x:c>
      <x:c r="B212" s="4" t="str">
        <x:v>UCSD-PTGBM-0155</x:v>
      </x:c>
      <x:c r="C212" s="6" t="n">
        <x:v>1</x:v>
      </x:c>
      <x:c r="D212" s="4" t="str">
        <x:v>derived_from_published_243_equals_192_plus_51_partition</x:v>
      </x:c>
      <x:c r="E212" s="4"/>
      <x:c r="F212" s="6" t="n">
        <x:v>37</x:v>
      </x:c>
      <x:c r="G212" s="4" t="str">
        <x:v>Male</x:v>
      </x:c>
      <x:c r="H212" s="6" t="n">
        <x:v>1</x:v>
      </x:c>
      <x:c r="I212" s="4" t="str">
        <x:v>Glioblastoma</x:v>
      </x:c>
      <x:c r="J212" s="6" t="n">
        <x:v>0</x:v>
      </x:c>
      <x:c r="K212" s="6" t="n">
        <x:v>212</x:v>
      </x:c>
      <x:c r="L212" s="6"/>
      <x:c r="M212" s="6" t="n">
        <x:v>1</x:v>
      </x:c>
      <x:c r="N212" s="6" t="n">
        <x:v>1</x:v>
      </x:c>
      <x:c r="O212" s="4" t="str">
        <x:v>source_HGG_collection; complete_age_sex; broad_partition_label</x:v>
      </x:c>
      <x:c r="P212" s="6" t="n">
        <x:v>3</x:v>
      </x:c>
      <x:c r="Q212" s="8" t="n">
        <x:v>0.6817047453</x:v>
      </x:c>
      <x:c r="R212" s="8" t="n">
        <x:v>0.7897435897</x:v>
      </x:c>
      <x:c r="S212" s="6" t="n">
        <x:v>1</x:v>
      </x:c>
      <x:c r="T212" s="8" t="n">
        <x:f>(C212-Q212)^2</x:f>
        <x:v>0.10131186916453785</x:v>
      </x:c>
      <x:c r="U212" s="8" t="n">
        <x:f>(C212-R212)^2</x:f>
        <x:v>0.044207758072241934</x:v>
      </x:c>
    </x:row>
    <x:row r="213" ht="28" customHeight="1">
      <x:c r="A213" s="4" t="str">
        <x:v>UCSD-PTGBM-0155_02</x:v>
      </x:c>
      <x:c r="B213" s="4" t="str">
        <x:v>UCSD-PTGBM-0155</x:v>
      </x:c>
      <x:c r="C213" s="6" t="n">
        <x:v>1</x:v>
      </x:c>
      <x:c r="D213" s="4" t="str">
        <x:v>derived_from_published_243_equals_192_plus_51_partition</x:v>
      </x:c>
      <x:c r="E213" s="4"/>
      <x:c r="F213" s="6" t="n">
        <x:v>37</x:v>
      </x:c>
      <x:c r="G213" s="4" t="str">
        <x:v>Male</x:v>
      </x:c>
      <x:c r="H213" s="6" t="n">
        <x:v>1</x:v>
      </x:c>
      <x:c r="I213" s="4" t="str">
        <x:v>Glioblastoma</x:v>
      </x:c>
      <x:c r="J213" s="6" t="n">
        <x:v>0</x:v>
      </x:c>
      <x:c r="K213" s="6" t="n">
        <x:v>213</x:v>
      </x:c>
      <x:c r="L213" s="6"/>
      <x:c r="M213" s="6" t="n">
        <x:v>1</x:v>
      </x:c>
      <x:c r="N213" s="6" t="n">
        <x:v>1</x:v>
      </x:c>
      <x:c r="O213" s="4" t="str">
        <x:v>source_HGG_collection; complete_age_sex; broad_partition_label</x:v>
      </x:c>
      <x:c r="P213" s="6" t="n">
        <x:v>3</x:v>
      </x:c>
      <x:c r="Q213" s="8" t="n">
        <x:v>0.6817047453</x:v>
      </x:c>
      <x:c r="R213" s="8" t="n">
        <x:v>0.7897435897</x:v>
      </x:c>
      <x:c r="S213" s="6" t="n">
        <x:v>1</x:v>
      </x:c>
      <x:c r="T213" s="8" t="n">
        <x:f>(C213-Q213)^2</x:f>
        <x:v>0.10131186916453785</x:v>
      </x:c>
      <x:c r="U213" s="8" t="n">
        <x:f>(C213-R213)^2</x:f>
        <x:v>0.044207758072241934</x:v>
      </x:c>
    </x:row>
    <x:row r="214" ht="28" customHeight="1">
      <x:c r="A214" s="4" t="str">
        <x:v>UCSD-PTGBM-0156_01</x:v>
      </x:c>
      <x:c r="B214" s="4" t="str">
        <x:v>UCSD-PTGBM-0156</x:v>
      </x:c>
      <x:c r="C214" s="6" t="n">
        <x:v>1</x:v>
      </x:c>
      <x:c r="D214" s="4" t="str">
        <x:v>derived_from_published_243_equals_192_plus_51_partition</x:v>
      </x:c>
      <x:c r="E214" s="4"/>
      <x:c r="F214" s="6" t="n">
        <x:v>55</x:v>
      </x:c>
      <x:c r="G214" s="4" t="str">
        <x:v>Male</x:v>
      </x:c>
      <x:c r="H214" s="6" t="n">
        <x:v>1</x:v>
      </x:c>
      <x:c r="I214" s="4" t="str">
        <x:v>Glioblastoma</x:v>
      </x:c>
      <x:c r="J214" s="6" t="n">
        <x:v>0</x:v>
      </x:c>
      <x:c r="K214" s="6" t="n">
        <x:v>214</x:v>
      </x:c>
      <x:c r="L214" s="6"/>
      <x:c r="M214" s="6" t="n">
        <x:v>1</x:v>
      </x:c>
      <x:c r="N214" s="6" t="n">
        <x:v>1</x:v>
      </x:c>
      <x:c r="O214" s="4" t="str">
        <x:v>source_HGG_collection; complete_age_sex; broad_partition_label</x:v>
      </x:c>
      <x:c r="P214" s="6" t="n">
        <x:v>5</x:v>
      </x:c>
      <x:c r="Q214" s="8" t="n">
        <x:v>0.7983120682</x:v>
      </x:c>
      <x:c r="R214" s="8" t="n">
        <x:v>0.7875647668</x:v>
      </x:c>
      <x:c r="S214" s="6" t="n">
        <x:v>1</x:v>
      </x:c>
      <x:c r="T214" s="8" t="n">
        <x:f>(C214-Q214)^2</x:f>
        <x:v>0.04067802183376145</x:v>
      </x:c>
      <x:c r="U214" s="8" t="n">
        <x:f>(C214-R214)^2</x:f>
        <x:v>0.04512872830473839</x:v>
      </x:c>
    </x:row>
    <x:row r="215" ht="28" customHeight="1">
      <x:c r="A215" s="4" t="str">
        <x:v>UCSD-PTGBM-0157_01</x:v>
      </x:c>
      <x:c r="B215" s="4" t="str">
        <x:v>UCSD-PTGBM-0157</x:v>
      </x:c>
      <x:c r="C215" s="6" t="n">
        <x:v>1</x:v>
      </x:c>
      <x:c r="D215" s="4" t="str">
        <x:v>derived_from_published_243_equals_192_plus_51_partition</x:v>
      </x:c>
      <x:c r="E215" s="4"/>
      <x:c r="F215" s="6" t="n">
        <x:v>53</x:v>
      </x:c>
      <x:c r="G215" s="4" t="str">
        <x:v>Male</x:v>
      </x:c>
      <x:c r="H215" s="6" t="n">
        <x:v>1</x:v>
      </x:c>
      <x:c r="I215" s="4" t="str">
        <x:v>Glioblastoma</x:v>
      </x:c>
      <x:c r="J215" s="6" t="n">
        <x:v>0</x:v>
      </x:c>
      <x:c r="K215" s="6" t="n">
        <x:v>215</x:v>
      </x:c>
      <x:c r="L215" s="6"/>
      <x:c r="M215" s="6" t="n">
        <x:v>1</x:v>
      </x:c>
      <x:c r="N215" s="6" t="n">
        <x:v>1</x:v>
      </x:c>
      <x:c r="O215" s="4" t="str">
        <x:v>source_HGG_collection; complete_age_sex; broad_partition_label</x:v>
      </x:c>
      <x:c r="P215" s="6" t="n">
        <x:v>1</x:v>
      </x:c>
      <x:c r="Q215" s="8" t="n">
        <x:v>0.8011779426</x:v>
      </x:c>
      <x:c r="R215" s="8" t="n">
        <x:v>0.7897435897</x:v>
      </x:c>
      <x:c r="S215" s="6" t="n">
        <x:v>1</x:v>
      </x:c>
      <x:c r="T215" s="8" t="n">
        <x:f>(C215-Q215)^2</x:f>
        <x:v>0.039530210508768905</x:v>
      </x:c>
      <x:c r="U215" s="8" t="n">
        <x:f>(C215-R215)^2</x:f>
        <x:v>0.044207758072241934</x:v>
      </x:c>
    </x:row>
    <x:row r="216" ht="28" customHeight="1">
      <x:c r="A216" s="4" t="str">
        <x:v>UCSD-PTGBM-0158_01</x:v>
      </x:c>
      <x:c r="B216" s="4" t="str">
        <x:v>UCSD-PTGBM-0158</x:v>
      </x:c>
      <x:c r="C216" s="6" t="n">
        <x:v>1</x:v>
      </x:c>
      <x:c r="D216" s="4" t="str">
        <x:v>derived_from_published_243_equals_192_plus_51_partition</x:v>
      </x:c>
      <x:c r="E216" s="4"/>
      <x:c r="F216" s="6" t="n">
        <x:v>73</x:v>
      </x:c>
      <x:c r="G216" s="4" t="str">
        <x:v>Male</x:v>
      </x:c>
      <x:c r="H216" s="6" t="n">
        <x:v>1</x:v>
      </x:c>
      <x:c r="I216" s="4" t="str">
        <x:v>Glioblastoma</x:v>
      </x:c>
      <x:c r="J216" s="6" t="n">
        <x:v>0</x:v>
      </x:c>
      <x:c r="K216" s="6" t="n">
        <x:v>216</x:v>
      </x:c>
      <x:c r="L216" s="6"/>
      <x:c r="M216" s="6" t="n">
        <x:v>1</x:v>
      </x:c>
      <x:c r="N216" s="6" t="n">
        <x:v>1</x:v>
      </x:c>
      <x:c r="O216" s="4" t="str">
        <x:v>source_HGG_collection; complete_age_sex; broad_partition_label</x:v>
      </x:c>
      <x:c r="P216" s="6" t="n">
        <x:v>3</x:v>
      </x:c>
      <x:c r="Q216" s="8" t="n">
        <x:v>0.9020301135</x:v>
      </x:c>
      <x:c r="R216" s="8" t="n">
        <x:v>0.7897435897</x:v>
      </x:c>
      <x:c r="S216" s="6" t="n">
        <x:v>1</x:v>
      </x:c>
      <x:c r="T216" s="8" t="n">
        <x:f>(C216-Q216)^2</x:f>
        <x:v>0.009598098660822892</x:v>
      </x:c>
      <x:c r="U216" s="8" t="n">
        <x:f>(C216-R216)^2</x:f>
        <x:v>0.044207758072241934</x:v>
      </x:c>
    </x:row>
    <x:row r="217" ht="28" customHeight="1">
      <x:c r="A217" s="4" t="str">
        <x:v>UCSD-PTGBM-0159_01</x:v>
      </x:c>
      <x:c r="B217" s="4" t="str">
        <x:v>UCSD-PTGBM-0159</x:v>
      </x:c>
      <x:c r="C217" s="6" t="n">
        <x:v>1</x:v>
      </x:c>
      <x:c r="D217" s="4" t="str">
        <x:v>derived_from_published_243_equals_192_plus_51_partition</x:v>
      </x:c>
      <x:c r="E217" s="4"/>
      <x:c r="F217" s="6" t="n">
        <x:v>38</x:v>
      </x:c>
      <x:c r="G217" s="4" t="str">
        <x:v>Male</x:v>
      </x:c>
      <x:c r="H217" s="6" t="n">
        <x:v>1</x:v>
      </x:c>
      <x:c r="I217" s="4" t="str">
        <x:v>Glioblastoma</x:v>
      </x:c>
      <x:c r="J217" s="6" t="n">
        <x:v>0</x:v>
      </x:c>
      <x:c r="K217" s="6" t="n">
        <x:v>217</x:v>
      </x:c>
      <x:c r="L217" s="6"/>
      <x:c r="M217" s="6" t="n">
        <x:v>1</x:v>
      </x:c>
      <x:c r="N217" s="6" t="n">
        <x:v>1</x:v>
      </x:c>
      <x:c r="O217" s="4" t="str">
        <x:v>source_HGG_collection; complete_age_sex; broad_partition_label</x:v>
      </x:c>
      <x:c r="P217" s="6" t="n">
        <x:v>3</x:v>
      </x:c>
      <x:c r="Q217" s="8" t="n">
        <x:v>0.6904293913</x:v>
      </x:c>
      <x:c r="R217" s="8" t="n">
        <x:v>0.7897435897</x:v>
      </x:c>
      <x:c r="S217" s="6" t="n">
        <x:v>1</x:v>
      </x:c>
      <x:c r="T217" s="8" t="n">
        <x:f>(C217-Q217)^2</x:f>
        <x:v>0.0958339617708885</x:v>
      </x:c>
      <x:c r="U217" s="8" t="n">
        <x:f>(C217-R217)^2</x:f>
        <x:v>0.044207758072241934</x:v>
      </x:c>
    </x:row>
    <x:row r="218" ht="28" customHeight="1">
      <x:c r="A218" s="4" t="str">
        <x:v>UCSD-PTGBM-0160_01</x:v>
      </x:c>
      <x:c r="B218" s="4" t="str">
        <x:v>UCSD-PTGBM-0160</x:v>
      </x:c>
      <x:c r="C218" s="6" t="n">
        <x:v>1</x:v>
      </x:c>
      <x:c r="D218" s="4" t="str">
        <x:v>derived_from_published_243_equals_192_plus_51_partition</x:v>
      </x:c>
      <x:c r="E218" s="4"/>
      <x:c r="F218" s="6" t="n">
        <x:v>30</x:v>
      </x:c>
      <x:c r="G218" s="4" t="str">
        <x:v>Male</x:v>
      </x:c>
      <x:c r="H218" s="6" t="n">
        <x:v>1</x:v>
      </x:c>
      <x:c r="I218" s="4" t="str">
        <x:v>Glioblastoma</x:v>
      </x:c>
      <x:c r="J218" s="6" t="n">
        <x:v>0</x:v>
      </x:c>
      <x:c r="K218" s="6" t="n">
        <x:v>218</x:v>
      </x:c>
      <x:c r="L218" s="6"/>
      <x:c r="M218" s="6" t="n">
        <x:v>1</x:v>
      </x:c>
      <x:c r="N218" s="6" t="n">
        <x:v>1</x:v>
      </x:c>
      <x:c r="O218" s="4" t="str">
        <x:v>source_HGG_collection; complete_age_sex; broad_partition_label</x:v>
      </x:c>
      <x:c r="P218" s="6" t="n">
        <x:v>4</x:v>
      </x:c>
      <x:c r="Q218" s="8" t="n">
        <x:v>0.6994131889</x:v>
      </x:c>
      <x:c r="R218" s="8" t="n">
        <x:v>0.793814433</x:v>
      </x:c>
      <x:c r="S218" s="6" t="n">
        <x:v>1</x:v>
      </x:c>
      <x:c r="T218" s="8" t="n">
        <x:f>(C218-Q218)^2</x:f>
        <x:v>0.09035243100726706</x:v>
      </x:c>
      <x:c r="U218" s="8" t="n">
        <x:f>(C218-R218)^2</x:f>
        <x:v>0.04251248803911149</x:v>
      </x:c>
    </x:row>
    <x:row r="219" ht="28" customHeight="1">
      <x:c r="A219" s="4" t="str">
        <x:v>UCSD-PTGBM-0161_01</x:v>
      </x:c>
      <x:c r="B219" s="4" t="str">
        <x:v>UCSD-PTGBM-0161</x:v>
      </x:c>
      <x:c r="C219" s="6" t="n">
        <x:v>1</x:v>
      </x:c>
      <x:c r="D219" s="4" t="str">
        <x:v>derived_from_published_243_equals_192_plus_51_partition</x:v>
      </x:c>
      <x:c r="E219" s="4"/>
      <x:c r="F219" s="6" t="n">
        <x:v>45</x:v>
      </x:c>
      <x:c r="G219" s="4" t="str">
        <x:v>Male</x:v>
      </x:c>
      <x:c r="H219" s="6" t="n">
        <x:v>1</x:v>
      </x:c>
      <x:c r="I219" s="4" t="str">
        <x:v>Glioblastoma</x:v>
      </x:c>
      <x:c r="J219" s="6" t="n">
        <x:v>0</x:v>
      </x:c>
      <x:c r="K219" s="6" t="n">
        <x:v>219</x:v>
      </x:c>
      <x:c r="L219" s="6"/>
      <x:c r="M219" s="6" t="n">
        <x:v>1</x:v>
      </x:c>
      <x:c r="N219" s="6" t="n">
        <x:v>1</x:v>
      </x:c>
      <x:c r="O219" s="4" t="str">
        <x:v>source_HGG_collection; complete_age_sex; broad_partition_label</x:v>
      </x:c>
      <x:c r="P219" s="6" t="n">
        <x:v>3</x:v>
      </x:c>
      <x:c r="Q219" s="8" t="n">
        <x:v>0.7475710552</x:v>
      </x:c>
      <x:c r="R219" s="8" t="n">
        <x:v>0.7897435897</x:v>
      </x:c>
      <x:c r="S219" s="6" t="n">
        <x:v>1</x:v>
      </x:c>
      <x:c r="T219" s="8" t="n">
        <x:f>(C219-Q219)^2</x:f>
        <x:v>0.06372037217284145</x:v>
      </x:c>
      <x:c r="U219" s="8" t="n">
        <x:f>(C219-R219)^2</x:f>
        <x:v>0.044207758072241934</x:v>
      </x:c>
    </x:row>
    <x:row r="220" ht="28" customHeight="1">
      <x:c r="A220" s="4" t="str">
        <x:v>UCSD-PTGBM-0162_01</x:v>
      </x:c>
      <x:c r="B220" s="4" t="str">
        <x:v>UCSD-PTGBM-0162</x:v>
      </x:c>
      <x:c r="C220" s="6" t="n">
        <x:v>1</x:v>
      </x:c>
      <x:c r="D220" s="4" t="str">
        <x:v>derived_from_published_243_equals_192_plus_51_partition</x:v>
      </x:c>
      <x:c r="E220" s="4"/>
      <x:c r="F220" s="6" t="n">
        <x:v>51</x:v>
      </x:c>
      <x:c r="G220" s="4" t="str">
        <x:v>Male</x:v>
      </x:c>
      <x:c r="H220" s="6" t="n">
        <x:v>1</x:v>
      </x:c>
      <x:c r="I220" s="4" t="str">
        <x:v>Glioblastoma</x:v>
      </x:c>
      <x:c r="J220" s="6" t="n">
        <x:v>0</x:v>
      </x:c>
      <x:c r="K220" s="6" t="n">
        <x:v>220</x:v>
      </x:c>
      <x:c r="L220" s="6"/>
      <x:c r="M220" s="6" t="n">
        <x:v>1</x:v>
      </x:c>
      <x:c r="N220" s="6" t="n">
        <x:v>1</x:v>
      </x:c>
      <x:c r="O220" s="4" t="str">
        <x:v>source_HGG_collection; complete_age_sex; broad_partition_label</x:v>
      </x:c>
      <x:c r="P220" s="6" t="n">
        <x:v>5</x:v>
      </x:c>
      <x:c r="Q220" s="8" t="n">
        <x:v>0.7796360512</x:v>
      </x:c>
      <x:c r="R220" s="8" t="n">
        <x:v>0.7875647668</x:v>
      </x:c>
      <x:c r="S220" s="6" t="n">
        <x:v>1</x:v>
      </x:c>
      <x:c r="T220" s="8" t="n">
        <x:f>(C220-Q220)^2</x:f>
        <x:v>0.04856026993072902</x:v>
      </x:c>
      <x:c r="U220" s="8" t="n">
        <x:f>(C220-R220)^2</x:f>
        <x:v>0.04512872830473839</x:v>
      </x:c>
    </x:row>
    <x:row r="221" ht="28" customHeight="1">
      <x:c r="A221" s="4" t="str">
        <x:v>UCSD-PTGBM-0162_02</x:v>
      </x:c>
      <x:c r="B221" s="4" t="str">
        <x:v>UCSD-PTGBM-0162</x:v>
      </x:c>
      <x:c r="C221" s="6" t="n">
        <x:v>1</x:v>
      </x:c>
      <x:c r="D221" s="4" t="str">
        <x:v>derived_from_published_243_equals_192_plus_51_partition</x:v>
      </x:c>
      <x:c r="E221" s="4"/>
      <x:c r="F221" s="6" t="n">
        <x:v>51</x:v>
      </x:c>
      <x:c r="G221" s="4" t="str">
        <x:v>Male</x:v>
      </x:c>
      <x:c r="H221" s="6" t="n">
        <x:v>1</x:v>
      </x:c>
      <x:c r="I221" s="4" t="str">
        <x:v>Glioblastoma</x:v>
      </x:c>
      <x:c r="J221" s="6" t="n">
        <x:v>0</x:v>
      </x:c>
      <x:c r="K221" s="6" t="n">
        <x:v>221</x:v>
      </x:c>
      <x:c r="L221" s="6"/>
      <x:c r="M221" s="6" t="n">
        <x:v>1</x:v>
      </x:c>
      <x:c r="N221" s="6" t="n">
        <x:v>1</x:v>
      </x:c>
      <x:c r="O221" s="4" t="str">
        <x:v>source_HGG_collection; complete_age_sex; broad_partition_label</x:v>
      </x:c>
      <x:c r="P221" s="6" t="n">
        <x:v>5</x:v>
      </x:c>
      <x:c r="Q221" s="8" t="n">
        <x:v>0.7796360512</x:v>
      </x:c>
      <x:c r="R221" s="8" t="n">
        <x:v>0.7875647668</x:v>
      </x:c>
      <x:c r="S221" s="6" t="n">
        <x:v>1</x:v>
      </x:c>
      <x:c r="T221" s="8" t="n">
        <x:f>(C221-Q221)^2</x:f>
        <x:v>0.04856026993072902</x:v>
      </x:c>
      <x:c r="U221" s="8" t="n">
        <x:f>(C221-R221)^2</x:f>
        <x:v>0.04512872830473839</x:v>
      </x:c>
    </x:row>
    <x:row r="222" ht="28" customHeight="1">
      <x:c r="A222" s="4" t="str">
        <x:v>UCSD-PTGBM-0163_01</x:v>
      </x:c>
      <x:c r="B222" s="4" t="str">
        <x:v>UCSD-PTGBM-0163</x:v>
      </x:c>
      <x:c r="C222" s="6" t="n">
        <x:v>1</x:v>
      </x:c>
      <x:c r="D222" s="4" t="str">
        <x:v>derived_from_published_243_equals_192_plus_51_partition</x:v>
      </x:c>
      <x:c r="E222" s="4"/>
      <x:c r="F222" s="6" t="n">
        <x:v>67</x:v>
      </x:c>
      <x:c r="G222" s="4" t="str">
        <x:v>Female</x:v>
      </x:c>
      <x:c r="H222" s="6" t="n">
        <x:v>0</x:v>
      </x:c>
      <x:c r="I222" s="4" t="str">
        <x:v>Glioblastoma</x:v>
      </x:c>
      <x:c r="J222" s="6" t="n">
        <x:v>0</x:v>
      </x:c>
      <x:c r="K222" s="6" t="n">
        <x:v>222</x:v>
      </x:c>
      <x:c r="L222" s="6"/>
      <x:c r="M222" s="6" t="n">
        <x:v>1</x:v>
      </x:c>
      <x:c r="N222" s="6" t="n">
        <x:v>1</x:v>
      </x:c>
      <x:c r="O222" s="4" t="str">
        <x:v>source_HGG_collection; complete_age_sex; broad_partition_label</x:v>
      </x:c>
      <x:c r="P222" s="6" t="n">
        <x:v>1</x:v>
      </x:c>
      <x:c r="Q222" s="8" t="n">
        <x:v>0.8331988442</x:v>
      </x:c>
      <x:c r="R222" s="8" t="n">
        <x:v>0.7897435897</x:v>
      </x:c>
      <x:c r="S222" s="6" t="n">
        <x:v>1</x:v>
      </x:c>
      <x:c r="T222" s="8" t="n">
        <x:f>(C222-Q222)^2</x:f>
        <x:v>0.02782262557621587</x:v>
      </x:c>
      <x:c r="U222" s="8" t="n">
        <x:f>(C222-R222)^2</x:f>
        <x:v>0.044207758072241934</x:v>
      </x:c>
    </x:row>
    <x:row r="223" ht="28" customHeight="1">
      <x:c r="A223" s="4" t="str">
        <x:v>UCSD-PTGBM-0163_02</x:v>
      </x:c>
      <x:c r="B223" s="4" t="str">
        <x:v>UCSD-PTGBM-0163</x:v>
      </x:c>
      <x:c r="C223" s="6" t="n">
        <x:v>0</x:v>
      </x:c>
      <x:c r="D223" s="4" t="str">
        <x:v>explicit_negative_case_list</x:v>
      </x:c>
      <x:c r="E223" s="4" t="str">
        <x:v>NS</x:v>
      </x:c>
      <x:c r="F223" s="6" t="n">
        <x:v>67</x:v>
      </x:c>
      <x:c r="G223" s="4" t="str">
        <x:v>Female</x:v>
      </x:c>
      <x:c r="H223" s="6" t="n">
        <x:v>0</x:v>
      </x:c>
      <x:c r="I223" s="4" t="str">
        <x:v>Glioblastoma</x:v>
      </x:c>
      <x:c r="J223" s="6" t="n">
        <x:v>0</x:v>
      </x:c>
      <x:c r="K223" s="6" t="n">
        <x:v>223</x:v>
      </x:c>
      <x:c r="L223" s="6" t="n">
        <x:v>44</x:v>
      </x:c>
      <x:c r="M223" s="6" t="n">
        <x:v>1</x:v>
      </x:c>
      <x:c r="N223" s="6" t="n">
        <x:v>1</x:v>
      </x:c>
      <x:c r="O223" s="4" t="str">
        <x:v>source_HGG_collection; complete_age_sex; broad_partition_label</x:v>
      </x:c>
      <x:c r="P223" s="6" t="n">
        <x:v>1</x:v>
      </x:c>
      <x:c r="Q223" s="8" t="n">
        <x:v>0.8331988442</x:v>
      </x:c>
      <x:c r="R223" s="8" t="n">
        <x:v>0.7897435897</x:v>
      </x:c>
      <x:c r="S223" s="6" t="n">
        <x:v>1</x:v>
      </x:c>
      <x:c r="T223" s="8" t="n">
        <x:f>(C223-Q223)^2</x:f>
        <x:v>0.6942203139762159</x:v>
      </x:c>
      <x:c r="U223" s="8" t="n">
        <x:f>(C223-R223)^2</x:f>
        <x:v>0.623694937472242</x:v>
      </x:c>
    </x:row>
    <x:row r="224" ht="28" customHeight="1">
      <x:c r="A224" s="4" t="str">
        <x:v>UCSD-PTGBM-0163_03</x:v>
      </x:c>
      <x:c r="B224" s="4" t="str">
        <x:v>UCSD-PTGBM-0163</x:v>
      </x:c>
      <x:c r="C224" s="6" t="n">
        <x:v>0</x:v>
      </x:c>
      <x:c r="D224" s="4" t="str">
        <x:v>explicit_negative_case_list</x:v>
      </x:c>
      <x:c r="E224" s="4" t="str">
        <x:v>NS</x:v>
      </x:c>
      <x:c r="F224" s="6" t="n">
        <x:v>67</x:v>
      </x:c>
      <x:c r="G224" s="4" t="str">
        <x:v>Female</x:v>
      </x:c>
      <x:c r="H224" s="6" t="n">
        <x:v>0</x:v>
      </x:c>
      <x:c r="I224" s="4" t="str">
        <x:v>Glioblastoma</x:v>
      </x:c>
      <x:c r="J224" s="6" t="n">
        <x:v>0</x:v>
      </x:c>
      <x:c r="K224" s="6" t="n">
        <x:v>224</x:v>
      </x:c>
      <x:c r="L224" s="6" t="n">
        <x:v>45</x:v>
      </x:c>
      <x:c r="M224" s="6" t="n">
        <x:v>1</x:v>
      </x:c>
      <x:c r="N224" s="6" t="n">
        <x:v>1</x:v>
      </x:c>
      <x:c r="O224" s="4" t="str">
        <x:v>source_HGG_collection; complete_age_sex; broad_partition_label</x:v>
      </x:c>
      <x:c r="P224" s="6" t="n">
        <x:v>1</x:v>
      </x:c>
      <x:c r="Q224" s="8" t="n">
        <x:v>0.8331988442</x:v>
      </x:c>
      <x:c r="R224" s="8" t="n">
        <x:v>0.7897435897</x:v>
      </x:c>
      <x:c r="S224" s="6" t="n">
        <x:v>1</x:v>
      </x:c>
      <x:c r="T224" s="8" t="n">
        <x:f>(C224-Q224)^2</x:f>
        <x:v>0.6942203139762159</x:v>
      </x:c>
      <x:c r="U224" s="8" t="n">
        <x:f>(C224-R224)^2</x:f>
        <x:v>0.623694937472242</x:v>
      </x:c>
    </x:row>
    <x:row r="225" ht="28" customHeight="1">
      <x:c r="A225" s="4" t="str">
        <x:v>UCSD-PTGBM-0164_01</x:v>
      </x:c>
      <x:c r="B225" s="4" t="str">
        <x:v>UCSD-PTGBM-0164</x:v>
      </x:c>
      <x:c r="C225" s="6" t="n">
        <x:v>0</x:v>
      </x:c>
      <x:c r="D225" s="4" t="str">
        <x:v>explicit_negative_case_list</x:v>
      </x:c>
      <x:c r="E225" s="4" t="str">
        <x:v>NS</x:v>
      </x:c>
      <x:c r="F225" s="6" t="n">
        <x:v>49</x:v>
      </x:c>
      <x:c r="G225" s="4" t="str">
        <x:v>Male</x:v>
      </x:c>
      <x:c r="H225" s="6" t="n">
        <x:v>1</x:v>
      </x:c>
      <x:c r="I225" s="4" t="str">
        <x:v>Glioblastoma</x:v>
      </x:c>
      <x:c r="J225" s="6" t="n">
        <x:v>0</x:v>
      </x:c>
      <x:c r="K225" s="6" t="n">
        <x:v>225</x:v>
      </x:c>
      <x:c r="L225" s="6" t="n">
        <x:v>46</x:v>
      </x:c>
      <x:c r="M225" s="6" t="n">
        <x:v>1</x:v>
      </x:c>
      <x:c r="N225" s="6" t="n">
        <x:v>1</x:v>
      </x:c>
      <x:c r="O225" s="4" t="str">
        <x:v>source_HGG_collection; complete_age_sex; broad_partition_label</x:v>
      </x:c>
      <x:c r="P225" s="6" t="n">
        <x:v>5</x:v>
      </x:c>
      <x:c r="Q225" s="8" t="n">
        <x:v>0.7698440944</x:v>
      </x:c>
      <x:c r="R225" s="8" t="n">
        <x:v>0.7875647668</x:v>
      </x:c>
      <x:c r="S225" s="6" t="n">
        <x:v>1</x:v>
      </x:c>
      <x:c r="T225" s="8" t="n">
        <x:f>(C225-Q225)^2</x:f>
        <x:v>0.5926599296825561</x:v>
      </x:c>
      <x:c r="U225" s="8" t="n">
        <x:f>(C225-R225)^2</x:f>
        <x:v>0.6202582619047383</x:v>
      </x:c>
    </x:row>
    <x:row r="226" ht="28" customHeight="1">
      <x:c r="A226" s="4" t="str">
        <x:v>UCSD-PTGBM-0165_01</x:v>
      </x:c>
      <x:c r="B226" s="4" t="str">
        <x:v>UCSD-PTGBM-0165</x:v>
      </x:c>
      <x:c r="C226" s="6" t="n">
        <x:v>0</x:v>
      </x:c>
      <x:c r="D226" s="4" t="str">
        <x:v>explicit_negative_case_list</x:v>
      </x:c>
      <x:c r="E226" s="4" t="str">
        <x:v>NS</x:v>
      </x:c>
      <x:c r="F226" s="6" t="n">
        <x:v>66</x:v>
      </x:c>
      <x:c r="G226" s="4" t="str">
        <x:v>Male</x:v>
      </x:c>
      <x:c r="H226" s="6" t="n">
        <x:v>1</x:v>
      </x:c>
      <x:c r="I226" s="4" t="str">
        <x:v>Glioblastoma</x:v>
      </x:c>
      <x:c r="J226" s="6" t="n">
        <x:v>0</x:v>
      </x:c>
      <x:c r="K226" s="6" t="n">
        <x:v>226</x:v>
      </x:c>
      <x:c r="L226" s="6" t="n">
        <x:v>47</x:v>
      </x:c>
      <x:c r="M226" s="6" t="n">
        <x:v>1</x:v>
      </x:c>
      <x:c r="N226" s="6" t="n">
        <x:v>1</x:v>
      </x:c>
      <x:c r="O226" s="4" t="str">
        <x:v>source_HGG_collection; complete_age_sex; broad_partition_label</x:v>
      </x:c>
      <x:c r="P226" s="6" t="n">
        <x:v>2</x:v>
      </x:c>
      <x:c r="Q226" s="8" t="n">
        <x:v>0.8496614789</x:v>
      </x:c>
      <x:c r="R226" s="8" t="n">
        <x:v>0.7897435897</x:v>
      </x:c>
      <x:c r="S226" s="6" t="n">
        <x:v>1</x:v>
      </x:c>
      <x:c r="T226" s="8" t="n">
        <x:f>(C226-Q226)^2</x:f>
        <x:v>0.7219246287265352</x:v>
      </x:c>
      <x:c r="U226" s="8" t="n">
        <x:f>(C226-R226)^2</x:f>
        <x:v>0.623694937472242</x:v>
      </x:c>
    </x:row>
    <x:row r="227" ht="28" customHeight="1">
      <x:c r="A227" s="4" t="str">
        <x:v>UCSD-PTGBM-0166_01</x:v>
      </x:c>
      <x:c r="B227" s="4" t="str">
        <x:v>UCSD-PTGBM-0166</x:v>
      </x:c>
      <x:c r="C227" s="6" t="n">
        <x:v>1</x:v>
      </x:c>
      <x:c r="D227" s="4" t="str">
        <x:v>derived_from_published_243_equals_192_plus_51_partition</x:v>
      </x:c>
      <x:c r="E227" s="4"/>
      <x:c r="F227" s="6" t="n">
        <x:v>29</x:v>
      </x:c>
      <x:c r="G227" s="4" t="str">
        <x:v>Male</x:v>
      </x:c>
      <x:c r="H227" s="6" t="n">
        <x:v>1</x:v>
      </x:c>
      <x:c r="I227" s="4" t="str">
        <x:v>Glioblastoma</x:v>
      </x:c>
      <x:c r="J227" s="6" t="n">
        <x:v>0</x:v>
      </x:c>
      <x:c r="K227" s="6" t="n">
        <x:v>227</x:v>
      </x:c>
      <x:c r="L227" s="6"/>
      <x:c r="M227" s="6" t="n">
        <x:v>1</x:v>
      </x:c>
      <x:c r="N227" s="6" t="n">
        <x:v>1</x:v>
      </x:c>
      <x:c r="O227" s="4" t="str">
        <x:v>source_HGG_collection; complete_age_sex; broad_partition_label</x:v>
      </x:c>
      <x:c r="P227" s="6" t="n">
        <x:v>3</x:v>
      </x:c>
      <x:c r="Q227" s="8" t="n">
        <x:v>0.6076714833</x:v>
      </x:c>
      <x:c r="R227" s="8" t="n">
        <x:v>0.7897435897</x:v>
      </x:c>
      <x:c r="S227" s="6" t="n">
        <x:v>1</x:v>
      </x:c>
      <x:c r="T227" s="8" t="n">
        <x:f>(C227-Q227)^2</x:f>
        <x:v>0.1539216650160222</x:v>
      </x:c>
      <x:c r="U227" s="8" t="n">
        <x:f>(C227-R227)^2</x:f>
        <x:v>0.044207758072241934</x:v>
      </x:c>
    </x:row>
    <x:row r="228" ht="28" customHeight="1">
      <x:c r="A228" s="4" t="str">
        <x:v>UCSD-PTGBM-0167_01</x:v>
      </x:c>
      <x:c r="B228" s="4" t="str">
        <x:v>UCSD-PTGBM-0167</x:v>
      </x:c>
      <x:c r="C228" s="6" t="n">
        <x:v>0</x:v>
      </x:c>
      <x:c r="D228" s="4" t="str">
        <x:v>explicit_negative_case_list</x:v>
      </x:c>
      <x:c r="E228" s="4" t="str">
        <x:v>Radiation necrosis</x:v>
      </x:c>
      <x:c r="F228" s="6" t="n">
        <x:v>77</x:v>
      </x:c>
      <x:c r="G228" s="4" t="str">
        <x:v>Female</x:v>
      </x:c>
      <x:c r="H228" s="6" t="n">
        <x:v>0</x:v>
      </x:c>
      <x:c r="I228" s="4" t="str">
        <x:v>Glioblastoma</x:v>
      </x:c>
      <x:c r="J228" s="6" t="n">
        <x:v>0</x:v>
      </x:c>
      <x:c r="K228" s="6" t="n">
        <x:v>228</x:v>
      </x:c>
      <x:c r="L228" s="6" t="n">
        <x:v>48</x:v>
      </x:c>
      <x:c r="M228" s="6" t="n">
        <x:v>1</x:v>
      </x:c>
      <x:c r="N228" s="6" t="n">
        <x:v>1</x:v>
      </x:c>
      <x:c r="O228" s="4" t="str">
        <x:v>source_HGG_collection; complete_age_sex; broad_partition_label</x:v>
      </x:c>
      <x:c r="P228" s="6" t="n">
        <x:v>4</x:v>
      </x:c>
      <x:c r="Q228" s="8" t="n">
        <x:v>0.8413662449</x:v>
      </x:c>
      <x:c r="R228" s="8" t="n">
        <x:v>0.793814433</x:v>
      </x:c>
      <x:c r="S228" s="6" t="n">
        <x:v>1</x:v>
      </x:c>
      <x:c r="T228" s="8" t="n">
        <x:f>(C228-Q228)^2</x:f>
        <x:v>0.7078971580571268</x:v>
      </x:c>
      <x:c r="U228" s="8" t="n">
        <x:f>(C228-R228)^2</x:f>
        <x:v>0.6301413540391114</x:v>
      </x:c>
    </x:row>
    <x:row r="229" ht="28" customHeight="1">
      <x:c r="A229" s="4" t="str">
        <x:v>UCSD-PTGBM-0167_02</x:v>
      </x:c>
      <x:c r="B229" s="4" t="str">
        <x:v>UCSD-PTGBM-0167</x:v>
      </x:c>
      <x:c r="C229" s="6" t="n">
        <x:v>1</x:v>
      </x:c>
      <x:c r="D229" s="4" t="str">
        <x:v>derived_from_published_243_equals_192_plus_51_partition</x:v>
      </x:c>
      <x:c r="E229" s="4"/>
      <x:c r="F229" s="6" t="n">
        <x:v>77</x:v>
      </x:c>
      <x:c r="G229" s="4" t="str">
        <x:v>Female</x:v>
      </x:c>
      <x:c r="H229" s="6" t="n">
        <x:v>0</x:v>
      </x:c>
      <x:c r="I229" s="4" t="str">
        <x:v>Glioblastoma</x:v>
      </x:c>
      <x:c r="J229" s="6" t="n">
        <x:v>0</x:v>
      </x:c>
      <x:c r="K229" s="6" t="n">
        <x:v>229</x:v>
      </x:c>
      <x:c r="L229" s="6"/>
      <x:c r="M229" s="6" t="n">
        <x:v>1</x:v>
      </x:c>
      <x:c r="N229" s="6" t="n">
        <x:v>1</x:v>
      </x:c>
      <x:c r="O229" s="4" t="str">
        <x:v>source_HGG_collection; complete_age_sex; broad_partition_label</x:v>
      </x:c>
      <x:c r="P229" s="6" t="n">
        <x:v>4</x:v>
      </x:c>
      <x:c r="Q229" s="8" t="n">
        <x:v>0.8413662449</x:v>
      </x:c>
      <x:c r="R229" s="8" t="n">
        <x:v>0.793814433</x:v>
      </x:c>
      <x:c r="S229" s="6" t="n">
        <x:v>1</x:v>
      </x:c>
      <x:c r="T229" s="8" t="n">
        <x:f>(C229-Q229)^2</x:f>
        <x:v>0.025164668257126776</x:v>
      </x:c>
      <x:c r="U229" s="8" t="n">
        <x:f>(C229-R229)^2</x:f>
        <x:v>0.04251248803911149</x:v>
      </x:c>
    </x:row>
    <x:row r="230" ht="28" customHeight="1">
      <x:c r="A230" s="4" t="str">
        <x:v>UCSD-PTGBM-0168_01</x:v>
      </x:c>
      <x:c r="B230" s="4" t="str">
        <x:v>UCSD-PTGBM-0168</x:v>
      </x:c>
      <x:c r="C230" s="6" t="n">
        <x:v>1</x:v>
      </x:c>
      <x:c r="D230" s="4" t="str">
        <x:v>derived_from_published_243_equals_192_plus_51_partition</x:v>
      </x:c>
      <x:c r="E230" s="4"/>
      <x:c r="F230" s="6" t="n">
        <x:v>45</x:v>
      </x:c>
      <x:c r="G230" s="4" t="str">
        <x:v>Male</x:v>
      </x:c>
      <x:c r="H230" s="6" t="n">
        <x:v>1</x:v>
      </x:c>
      <x:c r="I230" s="4" t="str">
        <x:v>Glioblastoma</x:v>
      </x:c>
      <x:c r="J230" s="6" t="n">
        <x:v>0</x:v>
      </x:c>
      <x:c r="K230" s="6" t="n">
        <x:v>230</x:v>
      </x:c>
      <x:c r="L230" s="6"/>
      <x:c r="M230" s="6" t="n">
        <x:v>1</x:v>
      </x:c>
      <x:c r="N230" s="6" t="n">
        <x:v>1</x:v>
      </x:c>
      <x:c r="O230" s="4" t="str">
        <x:v>source_HGG_collection; complete_age_sex; broad_partition_label</x:v>
      </x:c>
      <x:c r="P230" s="6" t="n">
        <x:v>2</x:v>
      </x:c>
      <x:c r="Q230" s="8" t="n">
        <x:v>0.7824440384</x:v>
      </x:c>
      <x:c r="R230" s="8" t="n">
        <x:v>0.7897435897</x:v>
      </x:c>
      <x:c r="S230" s="6" t="n">
        <x:v>1</x:v>
      </x:c>
      <x:c r="T230" s="8" t="n">
        <x:f>(C230-Q230)^2</x:f>
        <x:v>0.04733059642770068</x:v>
      </x:c>
      <x:c r="U230" s="8" t="n">
        <x:f>(C230-R230)^2</x:f>
        <x:v>0.044207758072241934</x:v>
      </x:c>
    </x:row>
    <x:row r="231" ht="28" customHeight="1">
      <x:c r="A231" s="4" t="str">
        <x:v>UCSD-PTGBM-0169_01</x:v>
      </x:c>
      <x:c r="B231" s="4" t="str">
        <x:v>UCSD-PTGBM-0169</x:v>
      </x:c>
      <x:c r="C231" s="6" t="n">
        <x:v>1</x:v>
      </x:c>
      <x:c r="D231" s="4" t="str">
        <x:v>derived_from_published_243_equals_192_plus_51_partition</x:v>
      </x:c>
      <x:c r="E231" s="4"/>
      <x:c r="F231" s="6" t="n">
        <x:v>58</x:v>
      </x:c>
      <x:c r="G231" s="4" t="str">
        <x:v>Female</x:v>
      </x:c>
      <x:c r="H231" s="6" t="n">
        <x:v>0</x:v>
      </x:c>
      <x:c r="I231" s="4" t="str">
        <x:v>Glioblastoma</x:v>
      </x:c>
      <x:c r="J231" s="6" t="n">
        <x:v>0</x:v>
      </x:c>
      <x:c r="K231" s="6" t="n">
        <x:v>231</x:v>
      </x:c>
      <x:c r="L231" s="6"/>
      <x:c r="M231" s="6" t="n">
        <x:v>1</x:v>
      </x:c>
      <x:c r="N231" s="6" t="n">
        <x:v>1</x:v>
      </x:c>
      <x:c r="O231" s="4" t="str">
        <x:v>source_HGG_collection; complete_age_sex; broad_partition_label</x:v>
      </x:c>
      <x:c r="P231" s="6" t="n">
        <x:v>4</x:v>
      </x:c>
      <x:c r="Q231" s="8" t="n">
        <x:v>0.7585716383</x:v>
      </x:c>
      <x:c r="R231" s="8" t="n">
        <x:v>0.793814433</x:v>
      </x:c>
      <x:c r="S231" s="6" t="n">
        <x:v>1</x:v>
      </x:c>
      <x:c r="T231" s="8" t="n">
        <x:f>(C231-Q231)^2</x:f>
        <x:v>0.05828765383314605</x:v>
      </x:c>
      <x:c r="U231" s="8" t="n">
        <x:f>(C231-R231)^2</x:f>
        <x:v>0.04251248803911149</x:v>
      </x:c>
    </x:row>
    <x:row r="232" ht="28" customHeight="1">
      <x:c r="A232" s="4" t="str">
        <x:v>UCSD-PTGBM-0170_01</x:v>
      </x:c>
      <x:c r="B232" s="4" t="str">
        <x:v>UCSD-PTGBM-0170</x:v>
      </x:c>
      <x:c r="C232" s="6" t="n">
        <x:v>1</x:v>
      </x:c>
      <x:c r="D232" s="4" t="str">
        <x:v>derived_from_published_243_equals_192_plus_51_partition</x:v>
      </x:c>
      <x:c r="E232" s="4"/>
      <x:c r="F232" s="6" t="n">
        <x:v>56</x:v>
      </x:c>
      <x:c r="G232" s="4" t="str">
        <x:v>Female</x:v>
      </x:c>
      <x:c r="H232" s="6" t="n">
        <x:v>0</x:v>
      </x:c>
      <x:c r="I232" s="4" t="str">
        <x:v>Glioblastoma</x:v>
      </x:c>
      <x:c r="J232" s="6" t="n">
        <x:v>0</x:v>
      </x:c>
      <x:c r="K232" s="6" t="n">
        <x:v>232</x:v>
      </x:c>
      <x:c r="L232" s="6"/>
      <x:c r="M232" s="6" t="n">
        <x:v>1</x:v>
      </x:c>
      <x:c r="N232" s="6" t="n">
        <x:v>1</x:v>
      </x:c>
      <x:c r="O232" s="4" t="str">
        <x:v>source_HGG_collection; complete_age_sex; broad_partition_label</x:v>
      </x:c>
      <x:c r="P232" s="6" t="n">
        <x:v>3</x:v>
      </x:c>
      <x:c r="Q232" s="8" t="n">
        <x:v>0.7378156484</x:v>
      </x:c>
      <x:c r="R232" s="8" t="n">
        <x:v>0.7897435897</x:v>
      </x:c>
      <x:c r="S232" s="6" t="n">
        <x:v>1</x:v>
      </x:c>
      <x:c r="T232" s="8" t="n">
        <x:f>(C232-Q232)^2</x:f>
        <x:v>0.06874063422391241</x:v>
      </x:c>
      <x:c r="U232" s="8" t="n">
        <x:f>(C232-R232)^2</x:f>
        <x:v>0.044207758072241934</x:v>
      </x:c>
    </x:row>
    <x:row r="233" ht="28" customHeight="1">
      <x:c r="A233" s="4" t="str">
        <x:v>UCSD-PTGBM-0171_01</x:v>
      </x:c>
      <x:c r="B233" s="4" t="str">
        <x:v>UCSD-PTGBM-0171</x:v>
      </x:c>
      <x:c r="C233" s="6" t="n">
        <x:v>1</x:v>
      </x:c>
      <x:c r="D233" s="4" t="str">
        <x:v>derived_from_published_243_equals_192_plus_51_partition</x:v>
      </x:c>
      <x:c r="E233" s="4"/>
      <x:c r="F233" s="6" t="n">
        <x:v>65</x:v>
      </x:c>
      <x:c r="G233" s="4" t="str">
        <x:v>Male</x:v>
      </x:c>
      <x:c r="H233" s="6" t="n">
        <x:v>1</x:v>
      </x:c>
      <x:c r="I233" s="4" t="str">
        <x:v>Glioblastoma</x:v>
      </x:c>
      <x:c r="J233" s="6" t="n">
        <x:v>0</x:v>
      </x:c>
      <x:c r="K233" s="6" t="n">
        <x:v>233</x:v>
      </x:c>
      <x:c r="L233" s="6"/>
      <x:c r="M233" s="6" t="n">
        <x:v>1</x:v>
      </x:c>
      <x:c r="N233" s="6" t="n">
        <x:v>1</x:v>
      </x:c>
      <x:c r="O233" s="4" t="str">
        <x:v>source_HGG_collection; complete_age_sex; broad_partition_label</x:v>
      </x:c>
      <x:c r="P233" s="6" t="n">
        <x:v>3</x:v>
      </x:c>
      <x:c r="Q233" s="8" t="n">
        <x:v>0.8694273967</x:v>
      </x:c>
      <x:c r="R233" s="8" t="n">
        <x:v>0.7897435897</x:v>
      </x:c>
      <x:c r="S233" s="6" t="n">
        <x:v>1</x:v>
      </x:c>
      <x:c r="T233" s="8" t="n">
        <x:f>(C233-Q233)^2</x:f>
        <x:v>0.017049204732539167</x:v>
      </x:c>
      <x:c r="U233" s="8" t="n">
        <x:f>(C233-R233)^2</x:f>
        <x:v>0.044207758072241934</x:v>
      </x:c>
    </x:row>
    <x:row r="234" ht="28" customHeight="1">
      <x:c r="A234" s="4" t="str">
        <x:v>UCSD-PTGBM-0172_01</x:v>
      </x:c>
      <x:c r="B234" s="4" t="str">
        <x:v>UCSD-PTGBM-0172</x:v>
      </x:c>
      <x:c r="C234" s="6" t="n">
        <x:v>0</x:v>
      </x:c>
      <x:c r="D234" s="4" t="str">
        <x:v>explicit_negative_case_list</x:v>
      </x:c>
      <x:c r="E234" s="4" t="str">
        <x:v>Radiation necrosis</x:v>
      </x:c>
      <x:c r="F234" s="6" t="n">
        <x:v>64</x:v>
      </x:c>
      <x:c r="G234" s="4" t="str">
        <x:v>Male</x:v>
      </x:c>
      <x:c r="H234" s="6" t="n">
        <x:v>1</x:v>
      </x:c>
      <x:c r="I234" s="4" t="str">
        <x:v>Glioblastoma</x:v>
      </x:c>
      <x:c r="J234" s="6" t="n">
        <x:v>0</x:v>
      </x:c>
      <x:c r="K234" s="6" t="n">
        <x:v>234</x:v>
      </x:c>
      <x:c r="L234" s="6" t="n">
        <x:v>49</x:v>
      </x:c>
      <x:c r="M234" s="6" t="n">
        <x:v>1</x:v>
      </x:c>
      <x:c r="N234" s="6" t="n">
        <x:v>1</x:v>
      </x:c>
      <x:c r="O234" s="4" t="str">
        <x:v>source_HGG_collection; complete_age_sex; broad_partition_label</x:v>
      </x:c>
      <x:c r="P234" s="6" t="n">
        <x:v>3</x:v>
      </x:c>
      <x:c r="Q234" s="8" t="n">
        <x:v>0.8647593082</x:v>
      </x:c>
      <x:c r="R234" s="8" t="n">
        <x:v>0.7897435897</x:v>
      </x:c>
      <x:c r="S234" s="6" t="n">
        <x:v>1</x:v>
      </x:c>
      <x:c r="T234" s="8" t="n">
        <x:f>(C234-Q234)^2</x:f>
        <x:v>0.7478086611185426</x:v>
      </x:c>
      <x:c r="U234" s="8" t="n">
        <x:f>(C234-R234)^2</x:f>
        <x:v>0.623694937472242</x:v>
      </x:c>
    </x:row>
    <x:row r="235" ht="28" customHeight="1">
      <x:c r="A235" s="4" t="str">
        <x:v>UCSD-PTGBM-0172_02</x:v>
      </x:c>
      <x:c r="B235" s="4" t="str">
        <x:v>UCSD-PTGBM-0172</x:v>
      </x:c>
      <x:c r="C235" s="6" t="n">
        <x:v>0</x:v>
      </x:c>
      <x:c r="D235" s="4" t="str">
        <x:v>explicit_negative_case_list</x:v>
      </x:c>
      <x:c r="E235" s="4" t="str">
        <x:v>Radiation necrosis</x:v>
      </x:c>
      <x:c r="F235" s="6" t="n">
        <x:v>64</x:v>
      </x:c>
      <x:c r="G235" s="4" t="str">
        <x:v>Male</x:v>
      </x:c>
      <x:c r="H235" s="6" t="n">
        <x:v>1</x:v>
      </x:c>
      <x:c r="I235" s="4" t="str">
        <x:v>Glioblastoma</x:v>
      </x:c>
      <x:c r="J235" s="6" t="n">
        <x:v>0</x:v>
      </x:c>
      <x:c r="K235" s="6" t="n">
        <x:v>235</x:v>
      </x:c>
      <x:c r="L235" s="6" t="n">
        <x:v>50</x:v>
      </x:c>
      <x:c r="M235" s="6" t="n">
        <x:v>1</x:v>
      </x:c>
      <x:c r="N235" s="6" t="n">
        <x:v>1</x:v>
      </x:c>
      <x:c r="O235" s="4" t="str">
        <x:v>source_HGG_collection; complete_age_sex; broad_partition_label</x:v>
      </x:c>
      <x:c r="P235" s="6" t="n">
        <x:v>3</x:v>
      </x:c>
      <x:c r="Q235" s="8" t="n">
        <x:v>0.8647593082</x:v>
      </x:c>
      <x:c r="R235" s="8" t="n">
        <x:v>0.7897435897</x:v>
      </x:c>
      <x:c r="S235" s="6" t="n">
        <x:v>1</x:v>
      </x:c>
      <x:c r="T235" s="8" t="n">
        <x:f>(C235-Q235)^2</x:f>
        <x:v>0.7478086611185426</x:v>
      </x:c>
      <x:c r="U235" s="8" t="n">
        <x:f>(C235-R235)^2</x:f>
        <x:v>0.623694937472242</x:v>
      </x:c>
    </x:row>
    <x:row r="236" ht="28" customHeight="1">
      <x:c r="A236" s="4" t="str">
        <x:v>UCSD-PTGBM-0173_01</x:v>
      </x:c>
      <x:c r="B236" s="4" t="str">
        <x:v>UCSD-PTGBM-0173</x:v>
      </x:c>
      <x:c r="C236" s="6" t="n">
        <x:v>1</x:v>
      </x:c>
      <x:c r="D236" s="4" t="str">
        <x:v>derived_from_published_243_equals_192_plus_51_partition</x:v>
      </x:c>
      <x:c r="E236" s="4"/>
      <x:c r="F236" s="6" t="n">
        <x:v>69</x:v>
      </x:c>
      <x:c r="G236" s="4" t="str">
        <x:v>Male</x:v>
      </x:c>
      <x:c r="H236" s="6" t="n">
        <x:v>1</x:v>
      </x:c>
      <x:c r="I236" s="4" t="str">
        <x:v>Glioblastoma</x:v>
      </x:c>
      <x:c r="J236" s="6" t="n">
        <x:v>0</x:v>
      </x:c>
      <x:c r="K236" s="6" t="n">
        <x:v>236</x:v>
      </x:c>
      <x:c r="L236" s="6"/>
      <x:c r="M236" s="6" t="n">
        <x:v>1</x:v>
      </x:c>
      <x:c r="N236" s="6" t="n">
        <x:v>1</x:v>
      </x:c>
      <x:c r="O236" s="4" t="str">
        <x:v>source_HGG_collection; complete_age_sex; broad_partition_label</x:v>
      </x:c>
      <x:c r="P236" s="6" t="n">
        <x:v>3</x:v>
      </x:c>
      <x:c r="Q236" s="8" t="n">
        <x:v>0.8867481174</x:v>
      </x:c>
      <x:c r="R236" s="8" t="n">
        <x:v>0.7897435897</x:v>
      </x:c>
      <x:c r="S236" s="6" t="n">
        <x:v>1</x:v>
      </x:c>
      <x:c r="T236" s="8" t="n">
        <x:f>(C236-Q236)^2</x:f>
        <x:v>0.012825988912444174</x:v>
      </x:c>
      <x:c r="U236" s="8" t="n">
        <x:f>(C236-R236)^2</x:f>
        <x:v>0.044207758072241934</x:v>
      </x:c>
    </x:row>
    <x:row r="237" ht="28" customHeight="1">
      <x:c r="A237" s="4" t="str">
        <x:v>UCSD-PTGBM-0174_01</x:v>
      </x:c>
      <x:c r="B237" s="4" t="str">
        <x:v>UCSD-PTGBM-0174</x:v>
      </x:c>
      <x:c r="C237" s="6" t="n">
        <x:v>0</x:v>
      </x:c>
      <x:c r="D237" s="4" t="str">
        <x:v>explicit_negative_case_list</x:v>
      </x:c>
      <x:c r="E237" s="4" t="str">
        <x:v>NS</x:v>
      </x:c>
      <x:c r="F237" s="6" t="n">
        <x:v>57</x:v>
      </x:c>
      <x:c r="G237" s="4" t="str">
        <x:v>Male</x:v>
      </x:c>
      <x:c r="H237" s="6" t="n">
        <x:v>1</x:v>
      </x:c>
      <x:c r="I237" s="4" t="str">
        <x:v>Glioblastoma</x:v>
      </x:c>
      <x:c r="J237" s="6" t="n">
        <x:v>0</x:v>
      </x:c>
      <x:c r="K237" s="6" t="n">
        <x:v>237</x:v>
      </x:c>
      <x:c r="L237" s="6" t="n">
        <x:v>51</x:v>
      </x:c>
      <x:c r="M237" s="6" t="n">
        <x:v>1</x:v>
      </x:c>
      <x:c r="N237" s="6" t="n">
        <x:v>1</x:v>
      </x:c>
      <x:c r="O237" s="4" t="str">
        <x:v>source_HGG_collection; complete_age_sex; broad_partition_label</x:v>
      </x:c>
      <x:c r="P237" s="6" t="n">
        <x:v>1</x:v>
      </x:c>
      <x:c r="Q237" s="8" t="n">
        <x:v>0.8192828712</x:v>
      </x:c>
      <x:c r="R237" s="8" t="n">
        <x:v>0.7897435897</x:v>
      </x:c>
      <x:c r="S237" s="6" t="n">
        <x:v>1</x:v>
      </x:c>
      <x:c r="T237" s="8" t="n">
        <x:f>(C237-Q237)^2</x:f>
        <x:v>0.6712244230417158</x:v>
      </x:c>
      <x:c r="U237" s="8" t="n">
        <x:f>(C237-R237)^2</x:f>
        <x:v>0.623694937472242</x:v>
      </x:c>
    </x:row>
    <x:row r="238" ht="28" customHeight="1">
      <x:c r="A238" s="4" t="str">
        <x:v>UCSD-PTGBM-0174_02</x:v>
      </x:c>
      <x:c r="B238" s="4" t="str">
        <x:v>UCSD-PTGBM-0174</x:v>
      </x:c>
      <x:c r="C238" s="6" t="n">
        <x:v>0</x:v>
      </x:c>
      <x:c r="D238" s="4" t="str">
        <x:v>explicit_negative_case_list</x:v>
      </x:c>
      <x:c r="E238" s="4" t="str">
        <x:v>NS</x:v>
      </x:c>
      <x:c r="F238" s="6" t="n">
        <x:v>57</x:v>
      </x:c>
      <x:c r="G238" s="4" t="str">
        <x:v>Male</x:v>
      </x:c>
      <x:c r="H238" s="6" t="n">
        <x:v>1</x:v>
      </x:c>
      <x:c r="I238" s="4" t="str">
        <x:v>Glioblastoma</x:v>
      </x:c>
      <x:c r="J238" s="6" t="n">
        <x:v>0</x:v>
      </x:c>
      <x:c r="K238" s="6" t="n">
        <x:v>238</x:v>
      </x:c>
      <x:c r="L238" s="6" t="n">
        <x:v>52</x:v>
      </x:c>
      <x:c r="M238" s="6" t="n">
        <x:v>1</x:v>
      </x:c>
      <x:c r="N238" s="6" t="n">
        <x:v>1</x:v>
      </x:c>
      <x:c r="O238" s="4" t="str">
        <x:v>source_HGG_collection; complete_age_sex; broad_partition_label</x:v>
      </x:c>
      <x:c r="P238" s="6" t="n">
        <x:v>1</x:v>
      </x:c>
      <x:c r="Q238" s="8" t="n">
        <x:v>0.8192828712</x:v>
      </x:c>
      <x:c r="R238" s="8" t="n">
        <x:v>0.7897435897</x:v>
      </x:c>
      <x:c r="S238" s="6" t="n">
        <x:v>1</x:v>
      </x:c>
      <x:c r="T238" s="8" t="n">
        <x:f>(C238-Q238)^2</x:f>
        <x:v>0.6712244230417158</x:v>
      </x:c>
      <x:c r="U238" s="8" t="n">
        <x:f>(C238-R238)^2</x:f>
        <x:v>0.623694937472242</x:v>
      </x:c>
    </x:row>
    <x:row r="239" ht="28" customHeight="1">
      <x:c r="A239" s="4" t="str">
        <x:v>UCSD-PTGBM-0175_01</x:v>
      </x:c>
      <x:c r="B239" s="4" t="str">
        <x:v>UCSD-PTGBM-0175</x:v>
      </x:c>
      <x:c r="C239" s="6" t="n">
        <x:v>1</x:v>
      </x:c>
      <x:c r="D239" s="4" t="str">
        <x:v>derived_from_published_243_equals_192_plus_51_partition</x:v>
      </x:c>
      <x:c r="E239" s="4"/>
      <x:c r="F239" s="6" t="n">
        <x:v>40</x:v>
      </x:c>
      <x:c r="G239" s="4" t="str">
        <x:v>Male</x:v>
      </x:c>
      <x:c r="H239" s="6" t="n">
        <x:v>1</x:v>
      </x:c>
      <x:c r="I239" s="4" t="str">
        <x:v>Glioblastoma</x:v>
      </x:c>
      <x:c r="J239" s="6" t="n">
        <x:v>0</x:v>
      </x:c>
      <x:c r="K239" s="6" t="n">
        <x:v>239</x:v>
      </x:c>
      <x:c r="L239" s="6"/>
      <x:c r="M239" s="6" t="n">
        <x:v>1</x:v>
      </x:c>
      <x:c r="N239" s="6" t="n">
        <x:v>1</x:v>
      </x:c>
      <x:c r="O239" s="4" t="str">
        <x:v>source_HGG_collection; complete_age_sex; broad_partition_label</x:v>
      </x:c>
      <x:c r="P239" s="6" t="n">
        <x:v>1</x:v>
      </x:c>
      <x:c r="Q239" s="8" t="n">
        <x:v>0.7331661469</x:v>
      </x:c>
      <x:c r="R239" s="8" t="n">
        <x:v>0.7897435897</x:v>
      </x:c>
      <x:c r="S239" s="6" t="n">
        <x:v>1</x:v>
      </x:c>
      <x:c r="T239" s="8" t="n">
        <x:f>(C239-Q239)^2</x:f>
        <x:v>0.07120030516019236</x:v>
      </x:c>
      <x:c r="U239" s="8" t="n">
        <x:f>(C239-R239)^2</x:f>
        <x:v>0.044207758072241934</x:v>
      </x:c>
    </x:row>
    <x:row r="240" ht="28" customHeight="1">
      <x:c r="A240" s="4" t="str">
        <x:v>UCSD-PTGBM-0176_01</x:v>
      </x:c>
      <x:c r="B240" s="4" t="str">
        <x:v>UCSD-PTGBM-0176</x:v>
      </x:c>
      <x:c r="C240" s="6" t="n">
        <x:v>1</x:v>
      </x:c>
      <x:c r="D240" s="4" t="str">
        <x:v>derived_from_published_243_equals_192_plus_51_partition</x:v>
      </x:c>
      <x:c r="E240" s="4"/>
      <x:c r="F240" s="6" t="n">
        <x:v>70</x:v>
      </x:c>
      <x:c r="G240" s="4" t="str">
        <x:v>Male</x:v>
      </x:c>
      <x:c r="H240" s="6" t="n">
        <x:v>1</x:v>
      </x:c>
      <x:c r="I240" s="4" t="str">
        <x:v>Glioblastoma</x:v>
      </x:c>
      <x:c r="J240" s="6" t="n">
        <x:v>0</x:v>
      </x:c>
      <x:c r="K240" s="6" t="n">
        <x:v>240</x:v>
      </x:c>
      <x:c r="L240" s="6"/>
      <x:c r="M240" s="6" t="n">
        <x:v>1</x:v>
      </x:c>
      <x:c r="N240" s="6" t="n">
        <x:v>1</x:v>
      </x:c>
      <x:c r="O240" s="4" t="str">
        <x:v>source_HGG_collection; complete_age_sex; broad_partition_label</x:v>
      </x:c>
      <x:c r="P240" s="6" t="n">
        <x:v>2</x:v>
      </x:c>
      <x:c r="Q240" s="8" t="n">
        <x:v>0.8603308113</x:v>
      </x:c>
      <x:c r="R240" s="8" t="n">
        <x:v>0.7897435897</x:v>
      </x:c>
      <x:c r="S240" s="6" t="n">
        <x:v>1</x:v>
      </x:c>
      <x:c r="T240" s="8" t="n">
        <x:f>(C240-Q240)^2</x:f>
        <x:v>0.019507482272116208</x:v>
      </x:c>
      <x:c r="U240" s="8" t="n">
        <x:f>(C240-R240)^2</x:f>
        <x:v>0.044207758072241934</x:v>
      </x:c>
    </x:row>
    <x:row r="241" ht="28" customHeight="1">
      <x:c r="A241" s="4" t="str">
        <x:v>UCSD-PTGBM-0176_02</x:v>
      </x:c>
      <x:c r="B241" s="4" t="str">
        <x:v>UCSD-PTGBM-0176</x:v>
      </x:c>
      <x:c r="C241" s="6" t="n">
        <x:v>1</x:v>
      </x:c>
      <x:c r="D241" s="4" t="str">
        <x:v>derived_from_published_243_equals_192_plus_51_partition</x:v>
      </x:c>
      <x:c r="E241" s="4"/>
      <x:c r="F241" s="6" t="n">
        <x:v>70</x:v>
      </x:c>
      <x:c r="G241" s="4" t="str">
        <x:v>Male</x:v>
      </x:c>
      <x:c r="H241" s="6" t="n">
        <x:v>1</x:v>
      </x:c>
      <x:c r="I241" s="4" t="str">
        <x:v>Glioblastoma</x:v>
      </x:c>
      <x:c r="J241" s="6" t="n">
        <x:v>0</x:v>
      </x:c>
      <x:c r="K241" s="6" t="n">
        <x:v>241</x:v>
      </x:c>
      <x:c r="L241" s="6"/>
      <x:c r="M241" s="6" t="n">
        <x:v>1</x:v>
      </x:c>
      <x:c r="N241" s="6" t="n">
        <x:v>1</x:v>
      </x:c>
      <x:c r="O241" s="4" t="str">
        <x:v>source_HGG_collection; complete_age_sex; broad_partition_label</x:v>
      </x:c>
      <x:c r="P241" s="6" t="n">
        <x:v>2</x:v>
      </x:c>
      <x:c r="Q241" s="8" t="n">
        <x:v>0.8603308113</x:v>
      </x:c>
      <x:c r="R241" s="8" t="n">
        <x:v>0.7897435897</x:v>
      </x:c>
      <x:c r="S241" s="6" t="n">
        <x:v>1</x:v>
      </x:c>
      <x:c r="T241" s="8" t="n">
        <x:f>(C241-Q241)^2</x:f>
        <x:v>0.019507482272116208</x:v>
      </x:c>
      <x:c r="U241" s="8" t="n">
        <x:f>(C241-R241)^2</x:f>
        <x:v>0.044207758072241934</x:v>
      </x:c>
    </x:row>
    <x:row r="242" ht="28" customHeight="1">
      <x:c r="A242" s="4" t="str">
        <x:v>UCSD-PTGBM-0177_01</x:v>
      </x:c>
      <x:c r="B242" s="4" t="str">
        <x:v>UCSD-PTGBM-0177</x:v>
      </x:c>
      <x:c r="C242" s="6" t="n">
        <x:v>1</x:v>
      </x:c>
      <x:c r="D242" s="4" t="str">
        <x:v>derived_from_published_243_equals_192_plus_51_partition</x:v>
      </x:c>
      <x:c r="E242" s="4"/>
      <x:c r="F242" s="6" t="n">
        <x:v>47</x:v>
      </x:c>
      <x:c r="G242" s="4" t="str">
        <x:v>Male</x:v>
      </x:c>
      <x:c r="H242" s="6" t="n">
        <x:v>1</x:v>
      </x:c>
      <x:c r="I242" s="4" t="str">
        <x:v>Glioblastoma</x:v>
      </x:c>
      <x:c r="J242" s="6" t="n">
        <x:v>0</x:v>
      </x:c>
      <x:c r="K242" s="6" t="n">
        <x:v>242</x:v>
      </x:c>
      <x:c r="L242" s="6"/>
      <x:c r="M242" s="6" t="n">
        <x:v>1</x:v>
      </x:c>
      <x:c r="N242" s="6" t="n">
        <x:v>1</x:v>
      </x:c>
      <x:c r="O242" s="4" t="str">
        <x:v>source_HGG_collection; complete_age_sex; broad_partition_label</x:v>
      </x:c>
      <x:c r="P242" s="6" t="n">
        <x:v>3</x:v>
      </x:c>
      <x:c r="Q242" s="8" t="n">
        <x:v>0.7625516542</x:v>
      </x:c>
      <x:c r="R242" s="8" t="n">
        <x:v>0.7897435897</x:v>
      </x:c>
      <x:c r="S242" s="6" t="n">
        <x:v>1</x:v>
      </x:c>
      <x:c r="T242" s="8" t="n">
        <x:f>(C242-Q242)^2</x:f>
        <x:v>0.056381716923156355</x:v>
      </x:c>
      <x:c r="U242" s="8" t="n">
        <x:f>(C242-R242)^2</x:f>
        <x:v>0.044207758072241934</x:v>
      </x:c>
    </x:row>
    <x:row r="243" ht="28" customHeight="1">
      <x:c r="A243" s="4" t="str">
        <x:v>UCSD-PTGBM-0178_01</x:v>
      </x:c>
      <x:c r="B243" s="4" t="str">
        <x:v>UCSD-PTGBM-0178</x:v>
      </x:c>
      <x:c r="C243" s="6" t="n">
        <x:v>1</x:v>
      </x:c>
      <x:c r="D243" s="4" t="str">
        <x:v>derived_from_published_243_equals_192_plus_51_partition</x:v>
      </x:c>
      <x:c r="E243" s="4"/>
      <x:c r="F243" s="6" t="n">
        <x:v>81</x:v>
      </x:c>
      <x:c r="G243" s="4" t="str">
        <x:v>Male</x:v>
      </x:c>
      <x:c r="H243" s="6" t="n">
        <x:v>1</x:v>
      </x:c>
      <x:c r="I243" s="4" t="str">
        <x:v>Glioblastoma</x:v>
      </x:c>
      <x:c r="J243" s="6" t="n">
        <x:v>0</x:v>
      </x:c>
      <x:c r="K243" s="6" t="n">
        <x:v>243</x:v>
      </x:c>
      <x:c r="L243" s="6"/>
      <x:c r="M243" s="6" t="n">
        <x:v>1</x:v>
      </x:c>
      <x:c r="N243" s="6" t="n">
        <x:v>1</x:v>
      </x:c>
      <x:c r="O243" s="4" t="str">
        <x:v>source_HGG_collection; complete_age_sex; broad_partition_label</x:v>
      </x:c>
      <x:c r="P243" s="6" t="n">
        <x:v>4</x:v>
      </x:c>
      <x:c r="Q243" s="8" t="n">
        <x:v>0.9046386634</x:v>
      </x:c>
      <x:c r="R243" s="8" t="n">
        <x:v>0.793814433</x:v>
      </x:c>
      <x:c r="S243" s="6" t="n">
        <x:v>1</x:v>
      </x:c>
      <x:c r="T243" s="8" t="n">
        <x:f>(C243-Q243)^2</x:f>
        <x:v>0.009093784518138501</x:v>
      </x:c>
      <x:c r="U243" s="8" t="n">
        <x:f>(C243-R243)^2</x:f>
        <x:v>0.04251248803911149</x:v>
      </x:c>
    </x:row>
    <x:row r="244" ht="28" customHeight="1">
      <x:c r="A244" s="4" t="str">
        <x:v>UCSD-PTGBM-0178_02</x:v>
      </x:c>
      <x:c r="B244" s="4" t="str">
        <x:v>UCSD-PTGBM-0178</x:v>
      </x:c>
      <x:c r="C244" s="6" t="n">
        <x:v>1</x:v>
      </x:c>
      <x:c r="D244" s="4" t="str">
        <x:v>derived_from_published_243_equals_192_plus_51_partition</x:v>
      </x:c>
      <x:c r="E244" s="4"/>
      <x:c r="F244" s="6" t="n">
        <x:v>81</x:v>
      </x:c>
      <x:c r="G244" s="4" t="str">
        <x:v>Male</x:v>
      </x:c>
      <x:c r="H244" s="6" t="n">
        <x:v>1</x:v>
      </x:c>
      <x:c r="I244" s="4" t="str">
        <x:v>Glioblastoma</x:v>
      </x:c>
      <x:c r="J244" s="6" t="n">
        <x:v>0</x:v>
      </x:c>
      <x:c r="K244" s="6" t="n">
        <x:v>244</x:v>
      </x:c>
      <x:c r="L244" s="6"/>
      <x:c r="M244" s="6" t="n">
        <x:v>1</x:v>
      </x:c>
      <x:c r="N244" s="6" t="n">
        <x:v>1</x:v>
      </x:c>
      <x:c r="O244" s="4" t="str">
        <x:v>source_HGG_collection; complete_age_sex; broad_partition_label</x:v>
      </x:c>
      <x:c r="P244" s="6" t="n">
        <x:v>4</x:v>
      </x:c>
      <x:c r="Q244" s="8" t="n">
        <x:v>0.9046386634</x:v>
      </x:c>
      <x:c r="R244" s="8" t="n">
        <x:v>0.793814433</x:v>
      </x:c>
      <x:c r="S244" s="6" t="n">
        <x:v>1</x:v>
      </x:c>
      <x:c r="T244" s="8" t="n">
        <x:f>(C244-Q244)^2</x:f>
        <x:v>0.009093784518138501</x:v>
      </x:c>
      <x:c r="U244" s="8" t="n">
        <x:f>(C244-R244)^2</x:f>
        <x:v>0.04251248803911149</x:v>
      </x:c>
    </x:row>
  </x:sheetData>
  <x:pageMargins left="0.7" right="0.7" top="0.75" bottom="0.75" header="0.3" footer="0.3"/>
  <x:tableParts count="1">
    <x:tablePart xmlns:r="http://schemas.openxmlformats.org/officeDocument/2006/relationships" r:id="R0852efade1364455"/>
  </x:tableParts>
</x:worksheet>
</file>

<file path=xl/worksheets/sheet3.xml><?xml version="1.0" encoding="utf-8"?>
<x:worksheet xmlns:x="http://schemas.openxmlformats.org/spreadsheetml/2006/main">
  <x:sheetPr>
    <x:tabColor rgb="FF35556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4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58" customHeight="1">
      <x:c r="A1" s="25" t="str">
        <x:v>fold</x:v>
      </x:c>
      <x:c r="B1" s="25" t="str">
        <x:v>n_train_patients</x:v>
      </x:c>
      <x:c r="C1" s="25" t="str">
        <x:v>n_test_patients</x:v>
      </x:c>
      <x:c r="D1" s="25" t="str">
        <x:v>n_train_timepoints</x:v>
      </x:c>
      <x:c r="E1" s="25" t="str">
        <x:v>n_test_timepoints</x:v>
      </x:c>
      <x:c r="F1" s="25" t="str">
        <x:v>test_tumor</x:v>
      </x:c>
      <x:c r="G1" s="25" t="str">
        <x:v>test_treatment_change</x:v>
      </x:c>
      <x:c r="H1" s="25" t="str">
        <x:v>train_prevalence</x:v>
      </x:c>
      <x:c r="I1" s="25" t="str">
        <x:v>train_age_mean</x:v>
      </x:c>
      <x:c r="J1" s="25" t="str">
        <x:v>train_age_sd</x:v>
      </x:c>
      <x:c r="K1" s="25" t="str">
        <x:v>roc_auc</x:v>
      </x:c>
      <x:c r="L1" s="25" t="str">
        <x:v>brier</x:v>
      </x:c>
    </x:row>
    <x:row r="2" ht="30" customHeight="1">
      <x:c r="A2" s="5" t="n">
        <x:v>1</x:v>
      </x:c>
      <x:c r="B2" s="5" t="n">
        <x:v>145</x:v>
      </x:c>
      <x:c r="C2" s="5" t="n">
        <x:v>33</x:v>
      </x:c>
      <x:c r="D2" s="5" t="n">
        <x:v>195</x:v>
      </x:c>
      <x:c r="E2" s="5" t="n">
        <x:v>48</x:v>
      </x:c>
      <x:c r="F2" s="5" t="n">
        <x:v>38</x:v>
      </x:c>
      <x:c r="G2" s="5" t="n">
        <x:v>10</x:v>
      </x:c>
      <x:c r="H2" s="28" t="n">
        <x:v>0.7897435897</x:v>
      </x:c>
      <x:c r="I2" s="28" t="n">
        <x:v>54.4358974359</x:v>
      </x:c>
      <x:c r="J2" s="28" t="n">
        <x:v>14.0223171424</x:v>
      </x:c>
      <x:c r="K2" s="28" t="n">
        <x:v>0.6197368421</x:v>
      </x:c>
      <x:c r="L2" s="28" t="n">
        <x:v>0.1618789774</x:v>
      </x:c>
      <x:c r="M2" s="29"/>
    </x:row>
    <x:row r="3" ht="30" customHeight="1">
      <x:c r="A3" s="5" t="n">
        <x:v>2</x:v>
      </x:c>
      <x:c r="B3" s="5" t="n">
        <x:v>143</x:v>
      </x:c>
      <x:c r="C3" s="5" t="n">
        <x:v>35</x:v>
      </x:c>
      <x:c r="D3" s="5" t="n">
        <x:v>195</x:v>
      </x:c>
      <x:c r="E3" s="5" t="n">
        <x:v>48</x:v>
      </x:c>
      <x:c r="F3" s="5" t="n">
        <x:v>38</x:v>
      </x:c>
      <x:c r="G3" s="5" t="n">
        <x:v>10</x:v>
      </x:c>
      <x:c r="H3" s="28" t="n">
        <x:v>0.7897435897</x:v>
      </x:c>
      <x:c r="I3" s="28" t="n">
        <x:v>55.8820512821</x:v>
      </x:c>
      <x:c r="J3" s="28" t="n">
        <x:v>12.4117990141</x:v>
      </x:c>
      <x:c r="K3" s="28" t="n">
        <x:v>0.6460526316</x:v>
      </x:c>
      <x:c r="L3" s="28" t="n">
        <x:v>0.1579450744</x:v>
      </x:c>
      <x:c r="M3" s="29"/>
    </x:row>
    <x:row r="4" ht="30" customHeight="1">
      <x:c r="A4" s="5" t="n">
        <x:v>3</x:v>
      </x:c>
      <x:c r="B4" s="5" t="n">
        <x:v>141</x:v>
      </x:c>
      <x:c r="C4" s="5" t="n">
        <x:v>37</x:v>
      </x:c>
      <x:c r="D4" s="5" t="n">
        <x:v>195</x:v>
      </x:c>
      <x:c r="E4" s="5" t="n">
        <x:v>48</x:v>
      </x:c>
      <x:c r="F4" s="5" t="n">
        <x:v>38</x:v>
      </x:c>
      <x:c r="G4" s="5" t="n">
        <x:v>10</x:v>
      </x:c>
      <x:c r="H4" s="28" t="n">
        <x:v>0.7897435897</x:v>
      </x:c>
      <x:c r="I4" s="28" t="n">
        <x:v>56.8102564103</x:v>
      </x:c>
      <x:c r="J4" s="28" t="n">
        <x:v>13.4591460634</x:v>
      </x:c>
      <x:c r="K4" s="28" t="n">
        <x:v>0.5039473684</x:v>
      </x:c>
      <x:c r="L4" s="28" t="n">
        <x:v>0.178779898</x:v>
      </x:c>
      <x:c r="M4" s="29"/>
    </x:row>
    <x:row r="5" ht="30" customHeight="1">
      <x:c r="A5" s="5" t="n">
        <x:v>4</x:v>
      </x:c>
      <x:c r="B5" s="5" t="n">
        <x:v>143</x:v>
      </x:c>
      <x:c r="C5" s="5" t="n">
        <x:v>35</x:v>
      </x:c>
      <x:c r="D5" s="5" t="n">
        <x:v>194</x:v>
      </x:c>
      <x:c r="E5" s="5" t="n">
        <x:v>49</x:v>
      </x:c>
      <x:c r="F5" s="5" t="n">
        <x:v>38</x:v>
      </x:c>
      <x:c r="G5" s="5" t="n">
        <x:v>11</x:v>
      </x:c>
      <x:c r="H5" s="28" t="n">
        <x:v>0.793814433</x:v>
      </x:c>
      <x:c r="I5" s="28" t="n">
        <x:v>55.2216494845</x:v>
      </x:c>
      <x:c r="J5" s="28" t="n">
        <x:v>13.7487523468</x:v>
      </x:c>
      <x:c r="K5" s="28" t="n">
        <x:v>0.5837320574</x:v>
      </x:c>
      <x:c r="L5" s="28" t="n">
        <x:v>0.1704872362</x:v>
      </x:c>
      <x:c r="M5" s="29"/>
    </x:row>
    <x:row r="6" ht="30" customHeight="1">
      <x:c r="A6" s="5" t="n">
        <x:v>5</x:v>
      </x:c>
      <x:c r="B6" s="5" t="n">
        <x:v>140</x:v>
      </x:c>
      <x:c r="C6" s="5" t="n">
        <x:v>38</x:v>
      </x:c>
      <x:c r="D6" s="5" t="n">
        <x:v>193</x:v>
      </x:c>
      <x:c r="E6" s="5" t="n">
        <x:v>50</x:v>
      </x:c>
      <x:c r="F6" s="5" t="n">
        <x:v>40</x:v>
      </x:c>
      <x:c r="G6" s="5" t="n">
        <x:v>10</x:v>
      </x:c>
      <x:c r="H6" s="28" t="n">
        <x:v>0.7875647668</x:v>
      </x:c>
      <x:c r="I6" s="28" t="n">
        <x:v>55.2176165803</x:v>
      </x:c>
      <x:c r="J6" s="28" t="n">
        <x:v>14.3896299923</x:v>
      </x:c>
      <x:c r="K6" s="28" t="n">
        <x:v>0.61875</x:v>
      </x:c>
      <x:c r="L6" s="28" t="n">
        <x:v>0.1557193904</x:v>
      </x:c>
      <x:c r="M6" s="29"/>
    </x:row>
    <x:row r="10" ht="58" customHeight="1">
      <x:c r="A10" s="25" t="str">
        <x:v>最终全队列描述参数</x:v>
      </x:c>
      <x:c r="B10" s="25" t="str">
        <x:v>数值</x:v>
      </x:c>
      <x:c r="C10" s="25" t="str">
        <x:v>解释</x:v>
      </x:c>
    </x:row>
    <x:row r="11" ht="38" customHeight="1">
      <x:c r="A11" s="22" t="str">
        <x:v>年龄每10岁OR</x:v>
      </x:c>
      <x:c r="B11" s="30" t="n">
        <x:v>1.3471373396514705</x:v>
      </x:c>
      <x:c r="C11" s="22" t="str">
        <x:v>不用于独立危险因素或因果推断</x:v>
      </x:c>
    </x:row>
    <x:row r="12" ht="38" customHeight="1">
      <x:c r="A12" s="22" t="str">
        <x:v>Male相对Female OR</x:v>
      </x:c>
      <x:c r="B12" s="30" t="n">
        <x:v>1.4349032581480459</x:v>
      </x:c>
      <x:c r="C12" s="22" t="str">
        <x:v>完整参数另存JSON；性能只报告OOF</x:v>
      </x:c>
    </x:row>
    <x:row r="13" ht="38" customHeight="1">
      <x:c r="A13" s="22" t="str">
        <x:v>年龄均值 / 标准差</x:v>
      </x:c>
      <x:c r="B13" s="30" t="n">
        <x:v>55.51440329218107</x:v>
      </x:c>
      <x:c r="C13" s="22" t="str">
        <x:v>SD=13.6443岁</x:v>
      </x:c>
    </x:row>
  </x:sheetData>
  <x:pageMargins left="0.7" right="0.7" top="0.75" bottom="0.75" header="0.3" footer="0.3"/>
  <x:tableParts count="1">
    <x:tablePart xmlns:r="http://schemas.openxmlformats.org/officeDocument/2006/relationships" r:id="R3e6a9772f5fd4875"/>
  </x:tableParts>
</x:worksheet>
</file>