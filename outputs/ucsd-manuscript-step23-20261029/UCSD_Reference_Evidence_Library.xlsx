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22814eaca646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4d5e97d542432f"/>
    <x:sheet xmlns:r="http://schemas.openxmlformats.org/officeDocument/2006/relationships" name="References" sheetId="2" r:id="Rf6473220e6f84aa2"/>
    <x:sheet xmlns:r="http://schemas.openxmlformats.org/officeDocument/2006/relationships" name="Evidence" sheetId="3" r:id="R6005984e5663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%"/>
  </x:numFmts>
  <x:fonts count="5">
    <x:font>
      <x:sz val="11"/>
      <x:name val="Carlito"/>
    </x:font>
    <x:font>
      <x:sz val="10"/>
      <x:color rgb="FF243744"/>
      <x:name val="Arial"/>
    </x:font>
    <x:font>
      <x:b/>
      <x:sz val="11"/>
      <x:color rgb="FFFFFFFF"/>
      <x:name val="Arial"/>
    </x:font>
    <x:font>
      <x:b/>
      <x:sz val="17"/>
      <x:color rgb="FF294E66"/>
      <x:name val="Arial"/>
    </x:font>
    <x:font>
      <x:sz val="11"/>
      <x:color rgb="FF2437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E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b4578e65e4c85" /><Relationship Type="http://schemas.openxmlformats.org/officeDocument/2006/relationships/theme" Target="/xl/theme/theme1.xml" Id="R00eb0ced99ab4e82" /><Relationship Type="http://schemas.openxmlformats.org/officeDocument/2006/relationships/sharedStrings" Target="/xl/sharedStrings.xml" Id="R3f6f8df2cd8343f6" /><Relationship Type="http://schemas.openxmlformats.org/officeDocument/2006/relationships/worksheet" Target="/xl/worksheets/sheet1.xml" Id="Rdf4d5e97d542432f" /><Relationship Type="http://schemas.openxmlformats.org/officeDocument/2006/relationships/worksheet" Target="/xl/worksheets/sheet2.xml" Id="Rf6473220e6f84aa2" /><Relationship Type="http://schemas.openxmlformats.org/officeDocument/2006/relationships/worksheet" Target="/xl/worksheets/sheet3.xml" Id="R6005984e56634379" /></Relationships>
</file>

<file path=xl/tables/table1.xml><?xml version="1.0" encoding="utf-8"?>
<x:table xmlns:x="http://schemas.openxmlformats.org/spreadsheetml/2006/main" id="1" name="CandidateReferences" displayName="CandidateReferences" ref="A1:O41" headerRowCount="1" totalsRowCount="0" totalsRowShown="0">
  <x:tableColumns count="15">
    <x:tableColumn id="1" name="ID"/>
    <x:tableColumn id="2" name="First author"/>
    <x:tableColumn id="3" name="Title"/>
    <x:tableColumn id="4" name="Journal"/>
    <x:tableColumn id="5" name="DOI"/>
    <x:tableColumn id="6" name="PMID"/>
    <x:tableColumn id="7" name="Language"/>
    <x:tableColumn id="8" name="Journal year"/>
    <x:tableColumn id="9" name="Eligibility year"/>
    <x:tableColumn id="10" name="English flag"/>
    <x:tableColumn id="11" name="Recent 5 years"/>
    <x:tableColumn id="12" name="Recent 3 years"/>
    <x:tableColumn id="13" name="Source URL"/>
    <x:tableColumn id="14" name="DOI verification"/>
    <x:tableColumn id="15" name="Electronic da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Mapping" displayName="EvidenceMapping" ref="A1:G41" headerRowCount="1" totalsRowCount="0" totalsRowShown="0">
  <x:tableColumns count="7">
    <x:tableColumn id="1" name="ID"/>
    <x:tableColumn id="2" name="Role"/>
    <x:tableColumn id="3" name="Supported use"/>
    <x:tableColumn id="4" name="Limitations / cautions"/>
    <x:tableColumn id="5" name="V2 outline locations"/>
    <x:tableColumn id="6" name="Reading level"/>
    <x:tableColumn id="7" name="Cited in section 2.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b60375b5f847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2dbf92283e4db0" /></Relationships>
</file>

<file path=xl/worksheets/sheet1.xml><?xml version="1.0" encoding="utf-8"?>
<x:worksheet xmlns:x="http://schemas.openxmlformats.org/spreadsheetml/2006/main">
  <x:sheetPr>
    <x:tabColor rgb="FF294E66"/>
  </x:sheetPr>
  <x:sheetViews>
    <x:sheetView showGridLines="0" workbookViewId="0"/>
  </x:sheetViews>
  <x:sheetFormatPr defaultRowHeight="15"/>
  <x:cols>
    <x:col min="2" max="2" width="33" hidden="0" customWidth="1"/>
    <x:col min="3" max="3" width="18" hidden="0" customWidth="1"/>
    <x:col min="4" max="4" width="67" hidden="0" customWidth="1"/>
  </x:cols>
  <x:sheetData>
    <x:row r="2">
      <x:c r="B2" s="8" t="str">
        <x:v>Candidate reference and evidence library</x:v>
      </x:c>
    </x:row>
    <x:row r="4" ht="40" customHeight="1">
      <x:c r="B4" s="13" t="str">
        <x:v>Metric</x:v>
      </x:c>
      <x:c r="C4" s="13" t="str">
        <x:v>Current value</x:v>
      </x:c>
      <x:c r="D4" s="13" t="str">
        <x:v>Interpretation</x:v>
      </x:c>
    </x:row>
    <x:row r="5" ht="43" customHeight="1">
      <x:c r="B5" s="11" t="str">
        <x:v>Candidate references</x:v>
      </x:c>
      <x:c r="C5" s="14" t="n">
        <x:f>COUNTA('References'!A2:A41)</x:f>
        <x:v>40</x:v>
      </x:c>
      <x:c r="D5" s="11" t="str">
        <x:v>Candidate pool, not the final manuscript citation list</x:v>
      </x:c>
    </x:row>
    <x:row r="6" ht="43" customHeight="1">
      <x:c r="B6" s="11" t="str">
        <x:v>English-language references</x:v>
      </x:c>
      <x:c r="C6" s="14" t="n">
        <x:f>SUM('References'!J2:J41)</x:f>
        <x:v>40</x:v>
      </x:c>
      <x:c r="D6" s="11" t="str">
        <x:v>Language checked against source records</x:v>
      </x:c>
    </x:row>
    <x:row r="7" ht="43" customHeight="1">
      <x:c r="B7" s="11" t="str">
        <x:v>Recent 5 years</x:v>
      </x:c>
      <x:c r="C7" s="14" t="n">
        <x:f>SUM('References'!K2:K41)</x:f>
        <x:v>37</x:v>
      </x:c>
      <x:c r="D7" s="11" t="str">
        <x:v>English; 2022-2026</x:v>
      </x:c>
    </x:row>
    <x:row r="8" ht="43" customHeight="1">
      <x:c r="B8" s="11" t="str">
        <x:v>Recent 5-year share</x:v>
      </x:c>
      <x:c r="C8" s="16" t="n">
        <x:f>C7/C5</x:f>
        <x:v>0.925</x:v>
      </x:c>
      <x:c r="D8" s="11" t="str">
        <x:v>Collaborator requirement: more than 90%</x:v>
      </x:c>
    </x:row>
    <x:row r="9" ht="43" customHeight="1">
      <x:c r="B9" s="11" t="str">
        <x:v>Recent 3 years</x:v>
      </x:c>
      <x:c r="C9" s="14" t="n">
        <x:f>SUM('References'!L2:L41)</x:f>
        <x:v>31</x:v>
      </x:c>
      <x:c r="D9" s="11" t="str">
        <x:v>English; 2024-2026</x:v>
      </x:c>
    </x:row>
    <x:row r="10" ht="43" customHeight="1">
      <x:c r="B10" s="11" t="str">
        <x:v>Recent 3-year share</x:v>
      </x:c>
      <x:c r="C10" s="16" t="n">
        <x:f>C9/C5</x:f>
        <x:v>0.775</x:v>
      </x:c>
      <x:c r="D10" s="11" t="str">
        <x:v>Collaborator requirement: majority</x:v>
      </x:c>
    </x:row>
    <x:row r="11" ht="43" customHeight="1">
      <x:c r="B11" s="11" t="str">
        <x:v>Cited in section 2.1</x:v>
      </x:c>
      <x:c r="C11" s="14" t="n">
        <x:f>SUM('Evidence'!G2:G41)</x:f>
        <x:v>3</x:v>
      </x:c>
      <x:c r="D11" s="11" t="str">
        <x:v>Final numbering will be rebuilt after Introduction</x:v>
      </x:c>
    </x:row>
    <x:row r="12" ht="43" customHeight="1">
      <x:c r="B12" s="11" t="str">
        <x:v>PubMed DOI records verified</x:v>
      </x:c>
      <x:c r="C12" s="14" t="n">
        <x:v>39</x:v>
      </x:c>
      <x:c r="D12" s="11" t="str">
        <x:v>JMLR 2011 is verified on its publisher page</x:v>
      </x:c>
    </x:row>
    <x:row r="13" ht="43" customHeight="1">
      <x:c r="B13" s="11" t="str">
        <x:v>Secondary Crossref matches</x:v>
      </x:c>
      <x:c r="C13" s="14" t="n">
        <x:v>30</x:v>
      </x:c>
      <x:c r="D13" s="11" t="str">
        <x:v>Nine secondary checks rate-limited; primary records verified</x:v>
      </x:c>
    </x:row>
    <x:row r="14" ht="43" customHeight="1">
      <x:c r="B14" s="11"/>
      <x:c r="C14" s="14"/>
      <x:c r="D14" s="11"/>
    </x:row>
    <x:row r="15" ht="43" customHeight="1">
      <x:c r="B15" s="11"/>
      <x:c r="C15" s="14"/>
      <x:c r="D15" s="11"/>
    </x:row>
    <x:row r="16" ht="40" customHeight="1">
      <x:c r="B16" s="13" t="str">
        <x:v>Calendar controls</x:v>
      </x:c>
      <x:c r="C16" s="15" t="str">
        <x:v>Year</x:v>
      </x:c>
      <x:c r="D16" s="13" t="str">
        <x:v>Rule</x:v>
      </x:c>
    </x:row>
    <x:row r="17" ht="43" customHeight="1">
      <x:c r="B17" s="11" t="str">
        <x:v>As-of year</x:v>
      </x:c>
      <x:c r="C17" s="14" t="n">
        <x:v>2026</x:v>
      </x:c>
      <x:c r="D17" s="11" t="str">
        <x:v>As-of date: 2026-10-29</x:v>
      </x:c>
    </x:row>
    <x:row r="18" ht="43" customHeight="1">
      <x:c r="B18" s="11" t="str">
        <x:v>5-year lower bound</x:v>
      </x:c>
      <x:c r="C18" s="14" t="n">
        <x:f>C17-4</x:f>
        <x:v>2022</x:v>
      </x:c>
      <x:c r="D18" s="11" t="str">
        <x:v>Inclusive calendar-year window</x:v>
      </x:c>
    </x:row>
    <x:row r="19" ht="43" customHeight="1">
      <x:c r="B19" s="11" t="str">
        <x:v>3-year lower bound</x:v>
      </x:c>
      <x:c r="C19" s="14" t="n">
        <x:f>C17-2</x:f>
        <x:v>2024</x:v>
      </x:c>
      <x:c r="D19" s="11" t="str">
        <x:v>Inclusive calendar-year window</x:v>
      </x:c>
    </x:row>
    <x:row r="20" ht="43" customHeight="1">
      <x:c r="B20" s="11"/>
      <x:c r="C20" s="11"/>
      <x:c r="D20" s="11"/>
    </x:row>
    <x:row r="21" ht="43" customHeight="1">
      <x:c r="B21" s="11"/>
      <x:c r="C21" s="11"/>
      <x:c r="D21" s="11"/>
    </x:row>
    <x:row r="22" ht="43" customHeight="1">
      <x:c r="B22" s="11" t="str">
        <x:v>Eligibility uses the earliest explicit online or journal year; a year embedded in a DOI is not a publication date.</x:v>
      </x:c>
      <x:c r="C22" s="11"/>
      <x:c r="D22" s="11"/>
    </x:row>
    <x:row r="23" ht="43" customHeight="1">
      <x:c r="B23" s="11" t="str">
        <x:v>Focused topic and methods screening; not a systematic review or 40 completed full-text reviews.</x:v>
      </x:c>
      <x:c r="C23" s="11"/>
      <x:c r="D23" s="11"/>
    </x:row>
    <x:row r="24" ht="43" customHeight="1">
      <x:c r="B24" s="11" t="str">
        <x:v>At least 25 final references are required. Recheck both recency shares after final citation selection.</x:v>
      </x:c>
      <x:c r="C24" s="11"/>
      <x:c r="D24" s="11"/>
    </x:row>
    <x:row r="25" ht="43" customHeight="1">
      <x:c r="B25" s="11" t="str">
        <x:v>S19 uses the same UCSD parent collection. It is related work, not independent external validation.</x:v>
      </x:c>
      <x:c r="C25" s="11"/>
      <x:c r="D25" s="11"/>
    </x:row>
    <x:row r="26" ht="43" customHeight="1">
      <x:c r="B26" s="11" t="str">
        <x:v>Evidence records separate abstract screening, relevant full-text review and official checklist review.</x:v>
      </x:c>
      <x:c r="C26" s="11"/>
      <x:c r="D26" s="11"/>
    </x:row>
    <x:row r="27" ht="43" customHeight="1">
      <x:c r="B27" s="11" t="str">
        <x:v>Source records, DOI links, publication dates and reading levels are preserved for each reference.</x:v>
      </x:c>
      <x:c r="C27" s="11"/>
      <x:c r="D27" s="11"/>
    </x:row>
  </x:sheetData>
  <x:mergeCells>
    <x:mergeCell ref="B22:D22"/>
    <x:mergeCell ref="B23:D23"/>
    <x:mergeCell ref="B24:D24"/>
    <x:mergeCell ref="B25:D25"/>
    <x:mergeCell ref="B26:D26"/>
    <x:mergeCell ref="B27:D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2" hidden="0" customWidth="1"/>
    <x:col min="3" max="3" width="75" hidden="0" customWidth="1"/>
    <x:col min="4" max="4" width="23" hidden="0" customWidth="1"/>
    <x:col min="5" max="5" width="34" hidden="0" customWidth="1"/>
    <x:col min="6" max="6" width="15" hidden="0" customWidth="1"/>
    <x:col min="7" max="7" width="13" hidden="0" customWidth="1"/>
    <x:col min="8" max="8" width="15" hidden="0" customWidth="1"/>
    <x:col min="9" max="9" width="17" hidden="0" customWidth="1"/>
    <x:col min="10" max="10" width="15" hidden="0" customWidth="1"/>
    <x:col min="11" max="11" width="18" hidden="0" customWidth="1"/>
    <x:col min="12" max="12" width="18" hidden="0" customWidth="1"/>
    <x:col min="13" max="13" width="57" hidden="0" customWidth="1"/>
    <x:col min="14" max="14" width="30" hidden="0" customWidth="1"/>
    <x:col min="15" max="15" width="26" hidden="0" customWidth="1"/>
  </x:cols>
  <x:sheetData>
    <x:row r="1" ht="40" customHeight="1">
      <x:c r="A1" s="6" t="str">
        <x:v>ID</x:v>
      </x:c>
      <x:c r="B1" s="6" t="str">
        <x:v>First author</x:v>
      </x:c>
      <x:c r="C1" s="6" t="str">
        <x:v>Title</x:v>
      </x:c>
      <x:c r="D1" s="6" t="str">
        <x:v>Journal</x:v>
      </x:c>
      <x:c r="E1" s="6" t="str">
        <x:v>DOI</x:v>
      </x:c>
      <x:c r="F1" s="6" t="str">
        <x:v>PMID</x:v>
      </x:c>
      <x:c r="G1" s="6" t="str">
        <x:v>Language</x:v>
      </x:c>
      <x:c r="H1" s="6" t="str">
        <x:v>Journal year</x:v>
      </x:c>
      <x:c r="I1" s="6" t="str">
        <x:v>Eligibility year</x:v>
      </x:c>
      <x:c r="J1" s="6" t="str">
        <x:v>English flag</x:v>
      </x:c>
      <x:c r="K1" s="6" t="str">
        <x:v>Recent 5 years</x:v>
      </x:c>
      <x:c r="L1" s="6" t="str">
        <x:v>Recent 3 years</x:v>
      </x:c>
      <x:c r="M1" s="6" t="str">
        <x:v>Source URL</x:v>
      </x:c>
      <x:c r="N1" s="6" t="str">
        <x:v>DOI verification</x:v>
      </x:c>
      <x:c r="O1" s="6" t="str">
        <x:v>Electronic dates</x:v>
      </x:c>
    </x:row>
    <x:row r="2" ht="100" customHeight="1">
      <x:c r="A2" s="4" t="str">
        <x:v>S01</x:v>
      </x:c>
      <x:c r="B2" s="4" t="str">
        <x:v>Gagnon L</x:v>
      </x:c>
      <x:c r="C2" s="4" t="str">
        <x:v>The University of California San Diego Post-Treatment Glioblastoma (UCSD-PTGBM) annotated multimodal MRI Dataset</x:v>
      </x:c>
      <x:c r="D2" s="4" t="str">
        <x:v>Sci Data</x:v>
      </x:c>
      <x:c r="E2" s="4" t="str">
        <x:v>10.1038/s41597-025-06499-z</x:v>
      </x:c>
      <x:c r="F2" s="4" t="str">
        <x:v>41495087</x:v>
      </x:c>
      <x:c r="G2" s="4" t="str">
        <x:v>English</x:v>
      </x:c>
      <x:c r="H2" s="7" t="n">
        <x:v>2026</x:v>
      </x:c>
      <x:c r="I2" s="7" t="n">
        <x:v>2026</x:v>
      </x:c>
      <x:c r="J2" s="7" t="n">
        <x:v>1</x:v>
      </x:c>
      <x:c r="K2" s="7" t="n">
        <x:f>IF(AND(I2&gt;='Summary'!$C$18,I2&lt;='Summary'!$C$17,J2=1),1,0)</x:f>
        <x:v>1</x:v>
      </x:c>
      <x:c r="L2" s="7" t="n">
        <x:f>IF(AND(I2&gt;='Summary'!$C$19,I2&lt;='Summary'!$C$17,J2=1),1,0)</x:f>
        <x:v>1</x:v>
      </x:c>
      <x:c r="M2" s="4" t="str">
        <x:v>https://pubmed.ncbi.nlm.nih.gov/41495087/</x:v>
      </x:c>
      <x:c r="N2" s="4" t="str">
        <x:v>PubMed and Crossref</x:v>
      </x:c>
      <x:c r="O2" s="4" t="str">
        <x:v>2026-01-06</x:v>
      </x:c>
    </x:row>
    <x:row r="3" ht="100" customHeight="1">
      <x:c r="A3" s="4" t="str">
        <x:v>S02</x:v>
      </x:c>
      <x:c r="B3" s="4" t="str">
        <x:v>Collins GS</x:v>
      </x:c>
      <x:c r="C3" s="4" t="str">
        <x:v>TRIPOD+AI statement: updated guidance for reporting clinical prediction models that use regression or machine learning methods</x:v>
      </x:c>
      <x:c r="D3" s="4" t="str">
        <x:v>BMJ</x:v>
      </x:c>
      <x:c r="E3" s="4" t="str">
        <x:v>10.1136/bmj-2023-078378</x:v>
      </x:c>
      <x:c r="F3" s="4" t="str">
        <x:v>38626948</x:v>
      </x:c>
      <x:c r="G3" s="4" t="str">
        <x:v>English</x:v>
      </x:c>
      <x:c r="H3" s="7" t="n">
        <x:v>2024</x:v>
      </x:c>
      <x:c r="I3" s="7" t="n">
        <x:v>2024</x:v>
      </x:c>
      <x:c r="J3" s="7" t="n">
        <x:v>1</x:v>
      </x:c>
      <x:c r="K3" s="7" t="n">
        <x:f>IF(AND(I3&gt;='Summary'!$C$18,I3&lt;='Summary'!$C$17,J3=1),1,0)</x:f>
        <x:v>1</x:v>
      </x:c>
      <x:c r="L3" s="7" t="n">
        <x:f>IF(AND(I3&gt;='Summary'!$C$19,I3&lt;='Summary'!$C$17,J3=1),1,0)</x:f>
        <x:v>1</x:v>
      </x:c>
      <x:c r="M3" s="4" t="str">
        <x:v>https://pubmed.ncbi.nlm.nih.gov/38626948/</x:v>
      </x:c>
      <x:c r="N3" s="4" t="str">
        <x:v>PubMed; secondary Crossref rate limited</x:v>
      </x:c>
      <x:c r="O3" s="4" t="str">
        <x:v>2024-04-16</x:v>
      </x:c>
    </x:row>
    <x:row r="4" ht="100" customHeight="1">
      <x:c r="A4" s="4" t="str">
        <x:v>S03</x:v>
      </x:c>
      <x:c r="B4" s="4" t="str">
        <x:v>Tejani AS</x:v>
      </x:c>
      <x:c r="C4" s="4" t="str">
        <x:v>Checklist for Artificial Intelligence in Medical Imaging (CLAIM): 2024 Update</x:v>
      </x:c>
      <x:c r="D4" s="4" t="str">
        <x:v>Radiol Artif Intell</x:v>
      </x:c>
      <x:c r="E4" s="4" t="str">
        <x:v>10.1148/ryai.240300</x:v>
      </x:c>
      <x:c r="F4" s="4" t="str">
        <x:v>38809149</x:v>
      </x:c>
      <x:c r="G4" s="4" t="str">
        <x:v>English</x:v>
      </x:c>
      <x:c r="H4" s="7" t="n">
        <x:v>2024</x:v>
      </x:c>
      <x:c r="I4" s="7" t="n">
        <x:v>2024</x:v>
      </x:c>
      <x:c r="J4" s="7" t="n">
        <x:v>1</x:v>
      </x:c>
      <x:c r="K4" s="7" t="n">
        <x:f>IF(AND(I4&gt;='Summary'!$C$18,I4&lt;='Summary'!$C$17,J4=1),1,0)</x:f>
        <x:v>1</x:v>
      </x:c>
      <x:c r="L4" s="7" t="n">
        <x:f>IF(AND(I4&gt;='Summary'!$C$19,I4&lt;='Summary'!$C$17,J4=1),1,0)</x:f>
        <x:v>1</x:v>
      </x:c>
      <x:c r="M4" s="4" t="str">
        <x:v>https://pubmed.ncbi.nlm.nih.gov/38809149/</x:v>
      </x:c>
      <x:c r="N4" s="4" t="str">
        <x:v>PubMed and Crossref</x:v>
      </x:c>
      <x:c r="O4" s="4" t="str"/>
    </x:row>
    <x:row r="5" ht="100" customHeight="1">
      <x:c r="A5" s="4" t="str">
        <x:v>S04</x:v>
      </x:c>
      <x:c r="B5" s="4" t="str">
        <x:v>Wen PY</x:v>
      </x:c>
      <x:c r="C5" s="4" t="str">
        <x:v>RANO 2.0: Update to the Response Assessment in Neuro-Oncology Criteria for High- and Low-Grade Gliomas in Adults</x:v>
      </x:c>
      <x:c r="D5" s="4" t="str">
        <x:v>J Clin Oncol</x:v>
      </x:c>
      <x:c r="E5" s="4" t="str">
        <x:v>10.1200/JCO.23.01059</x:v>
      </x:c>
      <x:c r="F5" s="4" t="str">
        <x:v>37774317</x:v>
      </x:c>
      <x:c r="G5" s="4" t="str">
        <x:v>English</x:v>
      </x:c>
      <x:c r="H5" s="7" t="n">
        <x:v>2023</x:v>
      </x:c>
      <x:c r="I5" s="7" t="n">
        <x:v>2023</x:v>
      </x:c>
      <x:c r="J5" s="7" t="n">
        <x:v>1</x:v>
      </x:c>
      <x:c r="K5" s="7" t="n">
        <x:f>IF(AND(I5&gt;='Summary'!$C$18,I5&lt;='Summary'!$C$17,J5=1),1,0)</x:f>
        <x:v>1</x:v>
      </x:c>
      <x:c r="L5" s="7" t="n">
        <x:f>IF(AND(I5&gt;='Summary'!$C$19,I5&lt;='Summary'!$C$17,J5=1),1,0)</x:f>
        <x:v>0</x:v>
      </x:c>
      <x:c r="M5" s="4" t="str">
        <x:v>https://pubmed.ncbi.nlm.nih.gov/37774317/</x:v>
      </x:c>
      <x:c r="N5" s="4" t="str">
        <x:v>PubMed and Crossref</x:v>
      </x:c>
      <x:c r="O5" s="4" t="str">
        <x:v>2023-09-29</x:v>
      </x:c>
    </x:row>
    <x:row r="6" ht="100" customHeight="1">
      <x:c r="A6" s="4" t="str">
        <x:v>S05</x:v>
      </x:c>
      <x:c r="B6" s="4" t="str">
        <x:v>Wen PY</x:v>
      </x:c>
      <x:c r="C6" s="4" t="str">
        <x:v>Glioblastoma in adults: A Society for Neuro-Oncology (SNO) and European Society of Neuro-Oncology (EANO) consensus review on current management and future directions</x:v>
      </x:c>
      <x:c r="D6" s="4" t="str">
        <x:v>Neuro Oncol</x:v>
      </x:c>
      <x:c r="E6" s="4" t="str">
        <x:v>10.1093/neuonc/noaf177</x:v>
      </x:c>
      <x:c r="F6" s="4" t="str">
        <x:v>40827022</x:v>
      </x:c>
      <x:c r="G6" s="4" t="str">
        <x:v>English</x:v>
      </x:c>
      <x:c r="H6" s="7" t="n">
        <x:v>2025</x:v>
      </x:c>
      <x:c r="I6" s="7" t="n">
        <x:v>2025</x:v>
      </x:c>
      <x:c r="J6" s="7" t="n">
        <x:v>1</x:v>
      </x:c>
      <x:c r="K6" s="7" t="n">
        <x:f>IF(AND(I6&gt;='Summary'!$C$18,I6&lt;='Summary'!$C$17,J6=1),1,0)</x:f>
        <x:v>1</x:v>
      </x:c>
      <x:c r="L6" s="7" t="n">
        <x:f>IF(AND(I6&gt;='Summary'!$C$19,I6&lt;='Summary'!$C$17,J6=1),1,0)</x:f>
        <x:v>1</x:v>
      </x:c>
      <x:c r="M6" s="4" t="str">
        <x:v>https://pubmed.ncbi.nlm.nih.gov/40827022/</x:v>
      </x:c>
      <x:c r="N6" s="4" t="str">
        <x:v>PubMed and Crossref</x:v>
      </x:c>
      <x:c r="O6" s="4" t="str"/>
    </x:row>
    <x:row r="7" ht="100" customHeight="1">
      <x:c r="A7" s="4" t="str">
        <x:v>S06</x:v>
      </x:c>
      <x:c r="B7" s="4" t="str">
        <x:v>Zhou J</x:v>
      </x:c>
      <x:c r="C7" s="4" t="str">
        <x:v>Radiomics and clinical data predict pseudoprogression after radiotherapy in high-grade glioma</x:v>
      </x:c>
      <x:c r="D7" s="4" t="str">
        <x:v>Front Oncol</x:v>
      </x:c>
      <x:c r="E7" s="4" t="str">
        <x:v>10.3389/fonc.2026.1892760</x:v>
      </x:c>
      <x:c r="F7" s="4" t="str">
        <x:v>42548620</x:v>
      </x:c>
      <x:c r="G7" s="4" t="str">
        <x:v>English</x:v>
      </x:c>
      <x:c r="H7" s="7" t="n">
        <x:v>2026</x:v>
      </x:c>
      <x:c r="I7" s="7" t="n">
        <x:v>2026</x:v>
      </x:c>
      <x:c r="J7" s="7" t="n">
        <x:v>1</x:v>
      </x:c>
      <x:c r="K7" s="7" t="n">
        <x:f>IF(AND(I7&gt;='Summary'!$C$18,I7&lt;='Summary'!$C$17,J7=1),1,0)</x:f>
        <x:v>1</x:v>
      </x:c>
      <x:c r="L7" s="7" t="n">
        <x:f>IF(AND(I7&gt;='Summary'!$C$19,I7&lt;='Summary'!$C$17,J7=1),1,0)</x:f>
        <x:v>1</x:v>
      </x:c>
      <x:c r="M7" s="4" t="str">
        <x:v>https://pubmed.ncbi.nlm.nih.gov/42548620/</x:v>
      </x:c>
      <x:c r="N7" s="4" t="str">
        <x:v>PubMed and Crossref</x:v>
      </x:c>
      <x:c r="O7" s="4" t="str">
        <x:v>2026-07-20</x:v>
      </x:c>
    </x:row>
    <x:row r="8" ht="100" customHeight="1">
      <x:c r="A8" s="4" t="str">
        <x:v>S07</x:v>
      </x:c>
      <x:c r="B8" s="4" t="str">
        <x:v>Yang L</x:v>
      </x:c>
      <x:c r="C8" s="4" t="str">
        <x:v>Voxel-Wise Radiomics Habitat Analysis of Posttreatment Gliomas for Noninvasive Differentiation of True Progression and Pseudoprogression</x:v>
      </x:c>
      <x:c r="D8" s="4" t="str">
        <x:v>J Magn Reson Imaging</x:v>
      </x:c>
      <x:c r="E8" s="4" t="str">
        <x:v>10.1002/jmri.70419</x:v>
      </x:c>
      <x:c r="F8" s="4" t="str">
        <x:v>42332872</x:v>
      </x:c>
      <x:c r="G8" s="4" t="str">
        <x:v>English</x:v>
      </x:c>
      <x:c r="H8" s="7" t="n">
        <x:v>2026</x:v>
      </x:c>
      <x:c r="I8" s="7" t="n">
        <x:v>2026</x:v>
      </x:c>
      <x:c r="J8" s="7" t="n">
        <x:v>1</x:v>
      </x:c>
      <x:c r="K8" s="7" t="n">
        <x:f>IF(AND(I8&gt;='Summary'!$C$18,I8&lt;='Summary'!$C$17,J8=1),1,0)</x:f>
        <x:v>1</x:v>
      </x:c>
      <x:c r="L8" s="7" t="n">
        <x:f>IF(AND(I8&gt;='Summary'!$C$19,I8&lt;='Summary'!$C$17,J8=1),1,0)</x:f>
        <x:v>1</x:v>
      </x:c>
      <x:c r="M8" s="4" t="str">
        <x:v>https://pubmed.ncbi.nlm.nih.gov/42332872/</x:v>
      </x:c>
      <x:c r="N8" s="4" t="str">
        <x:v>PubMed and Crossref</x:v>
      </x:c>
      <x:c r="O8" s="4" t="str">
        <x:v>2026-06-22</x:v>
      </x:c>
    </x:row>
    <x:row r="9" ht="100" customHeight="1">
      <x:c r="A9" s="4" t="str">
        <x:v>S08</x:v>
      </x:c>
      <x:c r="B9" s="4" t="str">
        <x:v>Zheng T</x:v>
      </x:c>
      <x:c r="C9" s="4" t="str">
        <x:v>Integrating ConvNeXt tiny and radiomics in a nomogram to differentiate true progression from pseudoprogression in glioma</x:v>
      </x:c>
      <x:c r="D9" s="4" t="str">
        <x:v>Neuroradiology</x:v>
      </x:c>
      <x:c r="E9" s="4" t="str">
        <x:v>10.1007/s00234-026-04024-6</x:v>
      </x:c>
      <x:c r="F9" s="4" t="str">
        <x:v>42105112</x:v>
      </x:c>
      <x:c r="G9" s="4" t="str">
        <x:v>English</x:v>
      </x:c>
      <x:c r="H9" s="7" t="n">
        <x:v>2026</x:v>
      </x:c>
      <x:c r="I9" s="7" t="n">
        <x:v>2026</x:v>
      </x:c>
      <x:c r="J9" s="7" t="n">
        <x:v>1</x:v>
      </x:c>
      <x:c r="K9" s="7" t="n">
        <x:f>IF(AND(I9&gt;='Summary'!$C$18,I9&lt;='Summary'!$C$17,J9=1),1,0)</x:f>
        <x:v>1</x:v>
      </x:c>
      <x:c r="L9" s="7" t="n">
        <x:f>IF(AND(I9&gt;='Summary'!$C$19,I9&lt;='Summary'!$C$17,J9=1),1,0)</x:f>
        <x:v>1</x:v>
      </x:c>
      <x:c r="M9" s="4" t="str">
        <x:v>https://pubmed.ncbi.nlm.nih.gov/42105112/</x:v>
      </x:c>
      <x:c r="N9" s="4" t="str">
        <x:v>PubMed and Crossref</x:v>
      </x:c>
      <x:c r="O9" s="4" t="str">
        <x:v>2026-05-09</x:v>
      </x:c>
    </x:row>
    <x:row r="10" ht="100" customHeight="1">
      <x:c r="A10" s="4" t="str">
        <x:v>S09</x:v>
      </x:c>
      <x:c r="B10" s="4" t="str">
        <x:v>Li J</x:v>
      </x:c>
      <x:c r="C10" s="4" t="str">
        <x:v>Multi-Sequence MRI radiomics model for discrimination of recurrence and pseudoprogression in gliomas</x:v>
      </x:c>
      <x:c r="D10" s="4" t="str">
        <x:v>Eur J Radiol</x:v>
      </x:c>
      <x:c r="E10" s="4" t="str">
        <x:v>10.1016/j.ejrad.2025.112508</x:v>
      </x:c>
      <x:c r="F10" s="4" t="str">
        <x:v>41237487</x:v>
      </x:c>
      <x:c r="G10" s="4" t="str">
        <x:v>English</x:v>
      </x:c>
      <x:c r="H10" s="7" t="n">
        <x:v>2026</x:v>
      </x:c>
      <x:c r="I10" s="7" t="n">
        <x:v>2025</x:v>
      </x:c>
      <x:c r="J10" s="7" t="n">
        <x:v>1</x:v>
      </x:c>
      <x:c r="K10" s="7" t="n">
        <x:f>IF(AND(I10&gt;='Summary'!$C$18,I10&lt;='Summary'!$C$17,J10=1),1,0)</x:f>
        <x:v>1</x:v>
      </x:c>
      <x:c r="L10" s="7" t="n">
        <x:f>IF(AND(I10&gt;='Summary'!$C$19,I10&lt;='Summary'!$C$17,J10=1),1,0)</x:f>
        <x:v>1</x:v>
      </x:c>
      <x:c r="M10" s="4" t="str">
        <x:v>https://pubmed.ncbi.nlm.nih.gov/41237487/</x:v>
      </x:c>
      <x:c r="N10" s="4" t="str">
        <x:v>PubMed and Crossref</x:v>
      </x:c>
      <x:c r="O10" s="4" t="str">
        <x:v>2025-11-06</x:v>
      </x:c>
    </x:row>
    <x:row r="11" ht="100" customHeight="1">
      <x:c r="A11" s="4" t="str">
        <x:v>S10</x:v>
      </x:c>
      <x:c r="B11" s="4" t="str">
        <x:v>Li J</x:v>
      </x:c>
      <x:c r="C11" s="4" t="str">
        <x:v>A deep learning model for distinguishing pseudoprogression and tumor progression in glioblastoma based on pre- and post-operative contrast-enhanced T1 imaging</x:v>
      </x:c>
      <x:c r="D11" s="4" t="str">
        <x:v>Radiother Oncol</x:v>
      </x:c>
      <x:c r="E11" s="4" t="str">
        <x:v>10.1016/j.radonc.2025.111111</x:v>
      </x:c>
      <x:c r="F11" s="4" t="str">
        <x:v>40854380</x:v>
      </x:c>
      <x:c r="G11" s="4" t="str">
        <x:v>English</x:v>
      </x:c>
      <x:c r="H11" s="7" t="n">
        <x:v>2025</x:v>
      </x:c>
      <x:c r="I11" s="7" t="n">
        <x:v>2025</x:v>
      </x:c>
      <x:c r="J11" s="7" t="n">
        <x:v>1</x:v>
      </x:c>
      <x:c r="K11" s="7" t="n">
        <x:f>IF(AND(I11&gt;='Summary'!$C$18,I11&lt;='Summary'!$C$17,J11=1),1,0)</x:f>
        <x:v>1</x:v>
      </x:c>
      <x:c r="L11" s="7" t="n">
        <x:f>IF(AND(I11&gt;='Summary'!$C$19,I11&lt;='Summary'!$C$17,J11=1),1,0)</x:f>
        <x:v>1</x:v>
      </x:c>
      <x:c r="M11" s="4" t="str">
        <x:v>https://pubmed.ncbi.nlm.nih.gov/40854380/</x:v>
      </x:c>
      <x:c r="N11" s="4" t="str">
        <x:v>PubMed and Crossref</x:v>
      </x:c>
      <x:c r="O11" s="4" t="str">
        <x:v>2025-08-23</x:v>
      </x:c>
    </x:row>
    <x:row r="12" ht="100" customHeight="1">
      <x:c r="A12" s="4" t="str">
        <x:v>S11</x:v>
      </x:c>
      <x:c r="B12" s="4" t="str">
        <x:v>Lin J</x:v>
      </x:c>
      <x:c r="C12" s="4" t="str">
        <x:v>Radiomic features on multiparametric MRI for differentiating pseudoprogression from recurrence in high-grade gliomas</x:v>
      </x:c>
      <x:c r="D12" s="4" t="str">
        <x:v>Acta Radiol</x:v>
      </x:c>
      <x:c r="E12" s="4" t="str">
        <x:v>10.1177/02841851241283781</x:v>
      </x:c>
      <x:c r="F12" s="4" t="str">
        <x:v>39380365</x:v>
      </x:c>
      <x:c r="G12" s="4" t="str">
        <x:v>English</x:v>
      </x:c>
      <x:c r="H12" s="7" t="n">
        <x:v>2024</x:v>
      </x:c>
      <x:c r="I12" s="7" t="n">
        <x:v>2024</x:v>
      </x:c>
      <x:c r="J12" s="7" t="n">
        <x:v>1</x:v>
      </x:c>
      <x:c r="K12" s="7" t="n">
        <x:f>IF(AND(I12&gt;='Summary'!$C$18,I12&lt;='Summary'!$C$17,J12=1),1,0)</x:f>
        <x:v>1</x:v>
      </x:c>
      <x:c r="L12" s="7" t="n">
        <x:f>IF(AND(I12&gt;='Summary'!$C$19,I12&lt;='Summary'!$C$17,J12=1),1,0)</x:f>
        <x:v>1</x:v>
      </x:c>
      <x:c r="M12" s="4" t="str">
        <x:v>https://pubmed.ncbi.nlm.nih.gov/39380365/</x:v>
      </x:c>
      <x:c r="N12" s="4" t="str">
        <x:v>PubMed; secondary Crossref rate limited</x:v>
      </x:c>
      <x:c r="O12" s="4" t="str">
        <x:v>2024-10-08</x:v>
      </x:c>
    </x:row>
    <x:row r="13" ht="100" customHeight="1">
      <x:c r="A13" s="4" t="str">
        <x:v>S12</x:v>
      </x:c>
      <x:c r="B13" s="4" t="str">
        <x:v>McKenney AS</x:v>
      </x:c>
      <x:c r="C13" s="4" t="str">
        <x:v>Radiomic Analysis to Predict Histopathologically Confirmed Pseudoprogression in Glioblastoma Patients</x:v>
      </x:c>
      <x:c r="D13" s="4" t="str">
        <x:v>Adv Radiat Oncol</x:v>
      </x:c>
      <x:c r="E13" s="4" t="str">
        <x:v>10.1016/j.adro.2022.100916</x:v>
      </x:c>
      <x:c r="F13" s="4" t="str">
        <x:v>36711062</x:v>
      </x:c>
      <x:c r="G13" s="4" t="str">
        <x:v>English</x:v>
      </x:c>
      <x:c r="H13" s="7" t="n">
        <x:v>2023</x:v>
      </x:c>
      <x:c r="I13" s="7" t="n">
        <x:v>2022</x:v>
      </x:c>
      <x:c r="J13" s="7" t="n">
        <x:v>1</x:v>
      </x:c>
      <x:c r="K13" s="7" t="n">
        <x:f>IF(AND(I13&gt;='Summary'!$C$18,I13&lt;='Summary'!$C$17,J13=1),1,0)</x:f>
        <x:v>1</x:v>
      </x:c>
      <x:c r="L13" s="7" t="n">
        <x:f>IF(AND(I13&gt;='Summary'!$C$19,I13&lt;='Summary'!$C$17,J13=1),1,0)</x:f>
        <x:v>0</x:v>
      </x:c>
      <x:c r="M13" s="4" t="str">
        <x:v>https://pubmed.ncbi.nlm.nih.gov/36711062/</x:v>
      </x:c>
      <x:c r="N13" s="4" t="str">
        <x:v>PubMed and Crossref</x:v>
      </x:c>
      <x:c r="O13" s="4" t="str">
        <x:v>2022-02-06</x:v>
      </x:c>
    </x:row>
    <x:row r="14" ht="100" customHeight="1">
      <x:c r="A14" s="4" t="str">
        <x:v>S13</x:v>
      </x:c>
      <x:c r="B14" s="4" t="str">
        <x:v>Leone R</x:v>
      </x:c>
      <x:c r="C14" s="4" t="str">
        <x:v>Assessing the added value of apparent diffusion coefficient, cerebral blood volume, and radiomic magnetic resonance features for differentiation of pseudoprogression versus true tumor progression in patients with glioblastoma</x:v>
      </x:c>
      <x:c r="D14" s="4" t="str">
        <x:v>Neurooncol Adv</x:v>
      </x:c>
      <x:c r="E14" s="4" t="str">
        <x:v>10.1093/noajnl/vdad016</x:v>
      </x:c>
      <x:c r="F14" s="4" t="str">
        <x:v>36968291</x:v>
      </x:c>
      <x:c r="G14" s="4" t="str">
        <x:v>English</x:v>
      </x:c>
      <x:c r="H14" s="7" t="n">
        <x:v>2023</x:v>
      </x:c>
      <x:c r="I14" s="7" t="n">
        <x:v>2023</x:v>
      </x:c>
      <x:c r="J14" s="7" t="n">
        <x:v>1</x:v>
      </x:c>
      <x:c r="K14" s="7" t="n">
        <x:f>IF(AND(I14&gt;='Summary'!$C$18,I14&lt;='Summary'!$C$17,J14=1),1,0)</x:f>
        <x:v>1</x:v>
      </x:c>
      <x:c r="L14" s="7" t="n">
        <x:f>IF(AND(I14&gt;='Summary'!$C$19,I14&lt;='Summary'!$C$17,J14=1),1,0)</x:f>
        <x:v>0</x:v>
      </x:c>
      <x:c r="M14" s="4" t="str">
        <x:v>https://pubmed.ncbi.nlm.nih.gov/36968291/</x:v>
      </x:c>
      <x:c r="N14" s="4" t="str">
        <x:v>PubMed; secondary Crossref rate limited</x:v>
      </x:c>
      <x:c r="O14" s="4" t="str">
        <x:v>2023-02-21</x:v>
      </x:c>
    </x:row>
    <x:row r="15" ht="100" customHeight="1">
      <x:c r="A15" s="4" t="str">
        <x:v>S14</x:v>
      </x:c>
      <x:c r="B15" s="4" t="str">
        <x:v>de Godoy LL</x:v>
      </x:c>
      <x:c r="C15" s="4" t="str">
        <x:v>Validation of multiparametric MRI based prediction model in identification of pseudoprogression in glioblastomas</x:v>
      </x:c>
      <x:c r="D15" s="4" t="str">
        <x:v>J Transl Med</x:v>
      </x:c>
      <x:c r="E15" s="4" t="str">
        <x:v>10.1186/s12967-023-03941-x</x:v>
      </x:c>
      <x:c r="F15" s="4" t="str">
        <x:v>37118754</x:v>
      </x:c>
      <x:c r="G15" s="4" t="str">
        <x:v>English</x:v>
      </x:c>
      <x:c r="H15" s="7" t="n">
        <x:v>2023</x:v>
      </x:c>
      <x:c r="I15" s="7" t="n">
        <x:v>2023</x:v>
      </x:c>
      <x:c r="J15" s="7" t="n">
        <x:v>1</x:v>
      </x:c>
      <x:c r="K15" s="7" t="n">
        <x:f>IF(AND(I15&gt;='Summary'!$C$18,I15&lt;='Summary'!$C$17,J15=1),1,0)</x:f>
        <x:v>1</x:v>
      </x:c>
      <x:c r="L15" s="7" t="n">
        <x:f>IF(AND(I15&gt;='Summary'!$C$19,I15&lt;='Summary'!$C$17,J15=1),1,0)</x:f>
        <x:v>0</x:v>
      </x:c>
      <x:c r="M15" s="4" t="str">
        <x:v>https://pubmed.ncbi.nlm.nih.gov/37118754/</x:v>
      </x:c>
      <x:c r="N15" s="4" t="str">
        <x:v>PubMed and Crossref</x:v>
      </x:c>
      <x:c r="O15" s="4" t="str">
        <x:v>2023-04-28</x:v>
      </x:c>
    </x:row>
    <x:row r="16" ht="100" customHeight="1">
      <x:c r="A16" s="4" t="str">
        <x:v>S15</x:v>
      </x:c>
      <x:c r="B16" s="4" t="str">
        <x:v>Sun YZ</x:v>
      </x:c>
      <x:c r="C16" s="4" t="str">
        <x:v>Differentiation of Pseudoprogression from True Progression in Glioblastoma Patients after Standard Treatment: A Machine Learning Strategy Combined with Radiomics Features from T1-weighted Contrast-enhanced Imaging</x:v>
      </x:c>
      <x:c r="D16" s="4" t="str">
        <x:v>BMC Med Imaging</x:v>
      </x:c>
      <x:c r="E16" s="4" t="str">
        <x:v>10.1186/s12880-020-00545-5</x:v>
      </x:c>
      <x:c r="F16" s="4" t="str">
        <x:v>33535988</x:v>
      </x:c>
      <x:c r="G16" s="4" t="str">
        <x:v>English</x:v>
      </x:c>
      <x:c r="H16" s="7" t="n">
        <x:v>2021</x:v>
      </x:c>
      <x:c r="I16" s="7" t="n">
        <x:v>2021</x:v>
      </x:c>
      <x:c r="J16" s="7" t="n">
        <x:v>1</x:v>
      </x:c>
      <x:c r="K16" s="7" t="n">
        <x:f>IF(AND(I16&gt;='Summary'!$C$18,I16&lt;='Summary'!$C$17,J16=1),1,0)</x:f>
        <x:v>0</x:v>
      </x:c>
      <x:c r="L16" s="7" t="n">
        <x:f>IF(AND(I16&gt;='Summary'!$C$19,I16&lt;='Summary'!$C$17,J16=1),1,0)</x:f>
        <x:v>0</x:v>
      </x:c>
      <x:c r="M16" s="4" t="str">
        <x:v>https://pubmed.ncbi.nlm.nih.gov/33535988/</x:v>
      </x:c>
      <x:c r="N16" s="4" t="str">
        <x:v>PubMed and Crossref</x:v>
      </x:c>
      <x:c r="O16" s="4" t="str">
        <x:v>2021-02-03</x:v>
      </x:c>
    </x:row>
    <x:row r="17" ht="100" customHeight="1">
      <x:c r="A17" s="4" t="str">
        <x:v>S16</x:v>
      </x:c>
      <x:c r="B17" s="4" t="str">
        <x:v>Zhang X</x:v>
      </x:c>
      <x:c r="C17" s="4" t="str">
        <x:v>MRI-Based Machine Learning to Differentiate True Progression from Pseudoprogression in Glioblastoma: An Updated Systematic Review and Meta-Analysis</x:v>
      </x:c>
      <x:c r="D17" s="4" t="str">
        <x:v>Neuro Oncol</x:v>
      </x:c>
      <x:c r="E17" s="4" t="str">
        <x:v>10.1093/neuonc/noag259</x:v>
      </x:c>
      <x:c r="F17" s="4" t="str">
        <x:v>42898007</x:v>
      </x:c>
      <x:c r="G17" s="4" t="str">
        <x:v>English</x:v>
      </x:c>
      <x:c r="H17" s="7" t="n">
        <x:v>2026</x:v>
      </x:c>
      <x:c r="I17" s="7" t="n">
        <x:v>2026</x:v>
      </x:c>
      <x:c r="J17" s="7" t="n">
        <x:v>1</x:v>
      </x:c>
      <x:c r="K17" s="7" t="n">
        <x:f>IF(AND(I17&gt;='Summary'!$C$18,I17&lt;='Summary'!$C$17,J17=1),1,0)</x:f>
        <x:v>1</x:v>
      </x:c>
      <x:c r="L17" s="7" t="n">
        <x:f>IF(AND(I17&gt;='Summary'!$C$19,I17&lt;='Summary'!$C$17,J17=1),1,0)</x:f>
        <x:v>1</x:v>
      </x:c>
      <x:c r="M17" s="4" t="str">
        <x:v>https://pubmed.ncbi.nlm.nih.gov/42898007/</x:v>
      </x:c>
      <x:c r="N17" s="4" t="str">
        <x:v>PubMed and Crossref</x:v>
      </x:c>
      <x:c r="O17" s="4" t="str">
        <x:v>2026-10-19</x:v>
      </x:c>
    </x:row>
    <x:row r="18" ht="100" customHeight="1">
      <x:c r="A18" s="4" t="str">
        <x:v>S17</x:v>
      </x:c>
      <x:c r="B18" s="4" t="str">
        <x:v>Palavani LB</x:v>
      </x:c>
      <x:c r="C18" s="4" t="str">
        <x:v>Artificial intelligence algorithms for differentiating pseudoprogression from true progression in high-grade gliomas: A systematic review and meta-analysis</x:v>
      </x:c>
      <x:c r="D18" s="4" t="str">
        <x:v>Neurosurg Rev</x:v>
      </x:c>
      <x:c r="E18" s="4" t="str">
        <x:v>10.1007/s10143-025-03718-4</x:v>
      </x:c>
      <x:c r="F18" s="4" t="str">
        <x:v>40768078</x:v>
      </x:c>
      <x:c r="G18" s="4" t="str">
        <x:v>English</x:v>
      </x:c>
      <x:c r="H18" s="7" t="n">
        <x:v>2025</x:v>
      </x:c>
      <x:c r="I18" s="7" t="n">
        <x:v>2025</x:v>
      </x:c>
      <x:c r="J18" s="7" t="n">
        <x:v>1</x:v>
      </x:c>
      <x:c r="K18" s="7" t="n">
        <x:f>IF(AND(I18&gt;='Summary'!$C$18,I18&lt;='Summary'!$C$17,J18=1),1,0)</x:f>
        <x:v>1</x:v>
      </x:c>
      <x:c r="L18" s="7" t="n">
        <x:f>IF(AND(I18&gt;='Summary'!$C$19,I18&lt;='Summary'!$C$17,J18=1),1,0)</x:f>
        <x:v>1</x:v>
      </x:c>
      <x:c r="M18" s="4" t="str">
        <x:v>https://pubmed.ncbi.nlm.nih.gov/40768078/</x:v>
      </x:c>
      <x:c r="N18" s="4" t="str">
        <x:v>PubMed; secondary Crossref rate limited</x:v>
      </x:c>
      <x:c r="O18" s="4" t="str">
        <x:v>2025-08-06</x:v>
      </x:c>
    </x:row>
    <x:row r="19" ht="100" customHeight="1">
      <x:c r="A19" s="4" t="str">
        <x:v>S18</x:v>
      </x:c>
      <x:c r="B19" s="4" t="str">
        <x:v>Patel CB</x:v>
      </x:c>
      <x:c r="C19" s="4" t="str">
        <x:v>Distinguishing true progression from treatment effects in glioblastoma: a practical, evidence-graded imaging framework for the multidisciplinary team</x:v>
      </x:c>
      <x:c r="D19" s="4" t="str">
        <x:v>J Neurooncol</x:v>
      </x:c>
      <x:c r="E19" s="4" t="str">
        <x:v>10.1007/s11060-026-05743-9</x:v>
      </x:c>
      <x:c r="F19" s="4" t="str">
        <x:v>42565942</x:v>
      </x:c>
      <x:c r="G19" s="4" t="str">
        <x:v>English</x:v>
      </x:c>
      <x:c r="H19" s="7" t="n">
        <x:v>2026</x:v>
      </x:c>
      <x:c r="I19" s="7" t="n">
        <x:v>2026</x:v>
      </x:c>
      <x:c r="J19" s="7" t="n">
        <x:v>1</x:v>
      </x:c>
      <x:c r="K19" s="7" t="n">
        <x:f>IF(AND(I19&gt;='Summary'!$C$18,I19&lt;='Summary'!$C$17,J19=1),1,0)</x:f>
        <x:v>1</x:v>
      </x:c>
      <x:c r="L19" s="7" t="n">
        <x:f>IF(AND(I19&gt;='Summary'!$C$19,I19&lt;='Summary'!$C$17,J19=1),1,0)</x:f>
        <x:v>1</x:v>
      </x:c>
      <x:c r="M19" s="4" t="str">
        <x:v>https://pubmed.ncbi.nlm.nih.gov/42565942/</x:v>
      </x:c>
      <x:c r="N19" s="4" t="str">
        <x:v>PubMed and Crossref</x:v>
      </x:c>
      <x:c r="O19" s="4" t="str">
        <x:v>2026-08-07</x:v>
      </x:c>
    </x:row>
    <x:row r="20" ht="100" customHeight="1">
      <x:c r="A20" s="4" t="str">
        <x:v>S19</x:v>
      </x:c>
      <x:c r="B20" s="4" t="str">
        <x:v>Reecher HM</x:v>
      </x:c>
      <x:c r="C20" s="4" t="str">
        <x:v>A Comparison of Radio-Pathomic, Diffusion, and Perfusion Imaging Features for Identifying Pseudoprogression in Glioblastoma</x:v>
      </x:c>
      <x:c r="D20" s="4" t="str">
        <x:v>AJNR Am J Neuroradiol</x:v>
      </x:c>
      <x:c r="E20" s="4" t="str">
        <x:v>10.3174/ajnr.A9574</x:v>
      </x:c>
      <x:c r="F20" s="4" t="str">
        <x:v>42567711</x:v>
      </x:c>
      <x:c r="G20" s="4" t="str">
        <x:v>English</x:v>
      </x:c>
      <x:c r="H20" s="7" t="n">
        <x:v>2026</x:v>
      </x:c>
      <x:c r="I20" s="7" t="n">
        <x:v>2026</x:v>
      </x:c>
      <x:c r="J20" s="7" t="n">
        <x:v>1</x:v>
      </x:c>
      <x:c r="K20" s="7" t="n">
        <x:f>IF(AND(I20&gt;='Summary'!$C$18,I20&lt;='Summary'!$C$17,J20=1),1,0)</x:f>
        <x:v>1</x:v>
      </x:c>
      <x:c r="L20" s="7" t="n">
        <x:f>IF(AND(I20&gt;='Summary'!$C$19,I20&lt;='Summary'!$C$17,J20=1),1,0)</x:f>
        <x:v>1</x:v>
      </x:c>
      <x:c r="M20" s="4" t="str">
        <x:v>https://pubmed.ncbi.nlm.nih.gov/42567711/</x:v>
      </x:c>
      <x:c r="N20" s="4" t="str">
        <x:v>PubMed and Crossref</x:v>
      </x:c>
      <x:c r="O20" s="4" t="str">
        <x:v>2026-08-07</x:v>
      </x:c>
    </x:row>
    <x:row r="21" ht="100" customHeight="1">
      <x:c r="A21" s="4" t="str">
        <x:v>S20</x:v>
      </x:c>
      <x:c r="B21" s="4" t="str">
        <x:v>Reddy S</x:v>
      </x:c>
      <x:c r="C21" s="4" t="str">
        <x:v>Radiomics and Radiogenomics in Differentiating Progression, Pseudoprogression, and Radiation Necrosis in Gliomas</x:v>
      </x:c>
      <x:c r="D21" s="4" t="str">
        <x:v>Biomedicines</x:v>
      </x:c>
      <x:c r="E21" s="4" t="str">
        <x:v>10.3390/biomedicines13071778</x:v>
      </x:c>
      <x:c r="F21" s="4" t="str">
        <x:v>40722849</x:v>
      </x:c>
      <x:c r="G21" s="4" t="str">
        <x:v>English</x:v>
      </x:c>
      <x:c r="H21" s="7" t="n">
        <x:v>2025</x:v>
      </x:c>
      <x:c r="I21" s="7" t="n">
        <x:v>2025</x:v>
      </x:c>
      <x:c r="J21" s="7" t="n">
        <x:v>1</x:v>
      </x:c>
      <x:c r="K21" s="7" t="n">
        <x:f>IF(AND(I21&gt;='Summary'!$C$18,I21&lt;='Summary'!$C$17,J21=1),1,0)</x:f>
        <x:v>1</x:v>
      </x:c>
      <x:c r="L21" s="7" t="n">
        <x:f>IF(AND(I21&gt;='Summary'!$C$19,I21&lt;='Summary'!$C$17,J21=1),1,0)</x:f>
        <x:v>1</x:v>
      </x:c>
      <x:c r="M21" s="4" t="str">
        <x:v>https://pubmed.ncbi.nlm.nih.gov/40722849/</x:v>
      </x:c>
      <x:c r="N21" s="4" t="str">
        <x:v>PubMed; secondary Crossref rate limited</x:v>
      </x:c>
      <x:c r="O21" s="4" t="str">
        <x:v>2025-07-21</x:v>
      </x:c>
    </x:row>
    <x:row r="22" ht="100" customHeight="1">
      <x:c r="A22" s="4" t="str">
        <x:v>S21</x:v>
      </x:c>
      <x:c r="B22" s="4" t="str">
        <x:v>Zhang T</x:v>
      </x:c>
      <x:c r="C22" s="4" t="str">
        <x:v>Radiomics in glioblastoma recurrence: advances in prediction, localization, and differentiation from treatment-related effects</x:v>
      </x:c>
      <x:c r="D22" s="4" t="str">
        <x:v>J Transl Med</x:v>
      </x:c>
      <x:c r="E22" s="4" t="str">
        <x:v>10.1186/s12967-026-07971-z</x:v>
      </x:c>
      <x:c r="F22" s="4" t="str">
        <x:v>41803972</x:v>
      </x:c>
      <x:c r="G22" s="4" t="str">
        <x:v>English</x:v>
      </x:c>
      <x:c r="H22" s="7" t="n">
        <x:v>2026</x:v>
      </x:c>
      <x:c r="I22" s="7" t="n">
        <x:v>2026</x:v>
      </x:c>
      <x:c r="J22" s="7" t="n">
        <x:v>1</x:v>
      </x:c>
      <x:c r="K22" s="7" t="n">
        <x:f>IF(AND(I22&gt;='Summary'!$C$18,I22&lt;='Summary'!$C$17,J22=1),1,0)</x:f>
        <x:v>1</x:v>
      </x:c>
      <x:c r="L22" s="7" t="n">
        <x:f>IF(AND(I22&gt;='Summary'!$C$19,I22&lt;='Summary'!$C$17,J22=1),1,0)</x:f>
        <x:v>1</x:v>
      </x:c>
      <x:c r="M22" s="4" t="str">
        <x:v>https://pubmed.ncbi.nlm.nih.gov/41803972/</x:v>
      </x:c>
      <x:c r="N22" s="4" t="str">
        <x:v>PubMed and Crossref</x:v>
      </x:c>
      <x:c r="O22" s="4" t="str">
        <x:v>2026-03-10</x:v>
      </x:c>
    </x:row>
    <x:row r="23" ht="100" customHeight="1">
      <x:c r="A23" s="4" t="str">
        <x:v>S22</x:v>
      </x:c>
      <x:c r="B23" s="4" t="str">
        <x:v>Whybra P</x:v>
      </x:c>
      <x:c r="C23" s="4" t="str">
        <x:v>The Image Biomarker Standardization Initiative: Standardized Convolutional Filters for Reproducible Radiomics and Enhanced Clinical Insights</x:v>
      </x:c>
      <x:c r="D23" s="4" t="str">
        <x:v>Radiology</x:v>
      </x:c>
      <x:c r="E23" s="4" t="str">
        <x:v>10.1148/radiol.231319</x:v>
      </x:c>
      <x:c r="F23" s="4" t="str">
        <x:v>38319168</x:v>
      </x:c>
      <x:c r="G23" s="4" t="str">
        <x:v>English</x:v>
      </x:c>
      <x:c r="H23" s="7" t="n">
        <x:v>2024</x:v>
      </x:c>
      <x:c r="I23" s="7" t="n">
        <x:v>2024</x:v>
      </x:c>
      <x:c r="J23" s="7" t="n">
        <x:v>1</x:v>
      </x:c>
      <x:c r="K23" s="7" t="n">
        <x:f>IF(AND(I23&gt;='Summary'!$C$18,I23&lt;='Summary'!$C$17,J23=1),1,0)</x:f>
        <x:v>1</x:v>
      </x:c>
      <x:c r="L23" s="7" t="n">
        <x:f>IF(AND(I23&gt;='Summary'!$C$19,I23&lt;='Summary'!$C$17,J23=1),1,0)</x:f>
        <x:v>1</x:v>
      </x:c>
      <x:c r="M23" s="4" t="str">
        <x:v>https://pubmed.ncbi.nlm.nih.gov/38319168/</x:v>
      </x:c>
      <x:c r="N23" s="4" t="str">
        <x:v>PubMed and Crossref</x:v>
      </x:c>
      <x:c r="O23" s="4" t="str"/>
    </x:row>
    <x:row r="24" ht="100" customHeight="1">
      <x:c r="A24" s="4" t="str">
        <x:v>S23</x:v>
      </x:c>
      <x:c r="B24" s="4" t="str">
        <x:v>Moons KGM</x:v>
      </x:c>
      <x:c r="C24" s="4" t="str">
        <x:v>PROBAST+AI: an updated quality, risk of bias, and applicability assessment tool for prediction models using regression or artificial intelligence methods</x:v>
      </x:c>
      <x:c r="D24" s="4" t="str">
        <x:v>BMJ</x:v>
      </x:c>
      <x:c r="E24" s="4" t="str">
        <x:v>10.1136/bmj-2024-082505</x:v>
      </x:c>
      <x:c r="F24" s="4" t="str">
        <x:v>40127903</x:v>
      </x:c>
      <x:c r="G24" s="4" t="str">
        <x:v>English</x:v>
      </x:c>
      <x:c r="H24" s="7" t="n">
        <x:v>2025</x:v>
      </x:c>
      <x:c r="I24" s="7" t="n">
        <x:v>2025</x:v>
      </x:c>
      <x:c r="J24" s="7" t="n">
        <x:v>1</x:v>
      </x:c>
      <x:c r="K24" s="7" t="n">
        <x:f>IF(AND(I24&gt;='Summary'!$C$18,I24&lt;='Summary'!$C$17,J24=1),1,0)</x:f>
        <x:v>1</x:v>
      </x:c>
      <x:c r="L24" s="7" t="n">
        <x:f>IF(AND(I24&gt;='Summary'!$C$19,I24&lt;='Summary'!$C$17,J24=1),1,0)</x:f>
        <x:v>1</x:v>
      </x:c>
      <x:c r="M24" s="4" t="str">
        <x:v>https://pubmed.ncbi.nlm.nih.gov/40127903/</x:v>
      </x:c>
      <x:c r="N24" s="4" t="str">
        <x:v>PubMed; secondary Crossref rate limited</x:v>
      </x:c>
      <x:c r="O24" s="4" t="str">
        <x:v>2025-03-24</x:v>
      </x:c>
    </x:row>
    <x:row r="25" ht="100" customHeight="1">
      <x:c r="A25" s="4" t="str">
        <x:v>S24</x:v>
      </x:c>
      <x:c r="B25" s="4" t="str">
        <x:v>Collins GS</x:v>
      </x:c>
      <x:c r="C25" s="4" t="str">
        <x:v>Evaluation of clinical prediction models (part 1): from development to external validation</x:v>
      </x:c>
      <x:c r="D25" s="4" t="str">
        <x:v>BMJ</x:v>
      </x:c>
      <x:c r="E25" s="4" t="str">
        <x:v>10.1136/bmj-2023-074819</x:v>
      </x:c>
      <x:c r="F25" s="4" t="str">
        <x:v>38191193</x:v>
      </x:c>
      <x:c r="G25" s="4" t="str">
        <x:v>English</x:v>
      </x:c>
      <x:c r="H25" s="7" t="n">
        <x:v>2024</x:v>
      </x:c>
      <x:c r="I25" s="7" t="n">
        <x:v>2024</x:v>
      </x:c>
      <x:c r="J25" s="7" t="n">
        <x:v>1</x:v>
      </x:c>
      <x:c r="K25" s="7" t="n">
        <x:f>IF(AND(I25&gt;='Summary'!$C$18,I25&lt;='Summary'!$C$17,J25=1),1,0)</x:f>
        <x:v>1</x:v>
      </x:c>
      <x:c r="L25" s="7" t="n">
        <x:f>IF(AND(I25&gt;='Summary'!$C$19,I25&lt;='Summary'!$C$17,J25=1),1,0)</x:f>
        <x:v>1</x:v>
      </x:c>
      <x:c r="M25" s="4" t="str">
        <x:v>https://pubmed.ncbi.nlm.nih.gov/38191193/</x:v>
      </x:c>
      <x:c r="N25" s="4" t="str">
        <x:v>PubMed and Crossref</x:v>
      </x:c>
      <x:c r="O25" s="4" t="str">
        <x:v>2024-01-08</x:v>
      </x:c>
    </x:row>
    <x:row r="26" ht="100" customHeight="1">
      <x:c r="A26" s="4" t="str">
        <x:v>S25</x:v>
      </x:c>
      <x:c r="B26" s="4" t="str">
        <x:v>Riley RD</x:v>
      </x:c>
      <x:c r="C26" s="4" t="str">
        <x:v>Evaluation of clinical prediction models (part 2): how to undertake an external validation study</x:v>
      </x:c>
      <x:c r="D26" s="4" t="str">
        <x:v>BMJ</x:v>
      </x:c>
      <x:c r="E26" s="4" t="str">
        <x:v>10.1136/bmj-2023-074820</x:v>
      </x:c>
      <x:c r="F26" s="4" t="str">
        <x:v>38224968</x:v>
      </x:c>
      <x:c r="G26" s="4" t="str">
        <x:v>English</x:v>
      </x:c>
      <x:c r="H26" s="7" t="n">
        <x:v>2024</x:v>
      </x:c>
      <x:c r="I26" s="7" t="n">
        <x:v>2024</x:v>
      </x:c>
      <x:c r="J26" s="7" t="n">
        <x:v>1</x:v>
      </x:c>
      <x:c r="K26" s="7" t="n">
        <x:f>IF(AND(I26&gt;='Summary'!$C$18,I26&lt;='Summary'!$C$17,J26=1),1,0)</x:f>
        <x:v>1</x:v>
      </x:c>
      <x:c r="L26" s="7" t="n">
        <x:f>IF(AND(I26&gt;='Summary'!$C$19,I26&lt;='Summary'!$C$17,J26=1),1,0)</x:f>
        <x:v>1</x:v>
      </x:c>
      <x:c r="M26" s="4" t="str">
        <x:v>https://pubmed.ncbi.nlm.nih.gov/38224968/</x:v>
      </x:c>
      <x:c r="N26" s="4" t="str">
        <x:v>PubMed; secondary Crossref rate limited</x:v>
      </x:c>
      <x:c r="O26" s="4" t="str">
        <x:v>2024-01-15</x:v>
      </x:c>
    </x:row>
    <x:row r="27" ht="100" customHeight="1">
      <x:c r="A27" s="4" t="str">
        <x:v>S26</x:v>
      </x:c>
      <x:c r="B27" s="4" t="str">
        <x:v>Riley RD</x:v>
      </x:c>
      <x:c r="C27" s="4" t="str">
        <x:v>Evaluation of clinical prediction models (part 3): calculating the sample size required for an external validation study</x:v>
      </x:c>
      <x:c r="D27" s="4" t="str">
        <x:v>BMJ</x:v>
      </x:c>
      <x:c r="E27" s="4" t="str">
        <x:v>10.1136/bmj-2023-074821</x:v>
      </x:c>
      <x:c r="F27" s="4" t="str">
        <x:v>38253388</x:v>
      </x:c>
      <x:c r="G27" s="4" t="str">
        <x:v>English</x:v>
      </x:c>
      <x:c r="H27" s="7" t="n">
        <x:v>2024</x:v>
      </x:c>
      <x:c r="I27" s="7" t="n">
        <x:v>2024</x:v>
      </x:c>
      <x:c r="J27" s="7" t="n">
        <x:v>1</x:v>
      </x:c>
      <x:c r="K27" s="7" t="n">
        <x:f>IF(AND(I27&gt;='Summary'!$C$18,I27&lt;='Summary'!$C$17,J27=1),1,0)</x:f>
        <x:v>1</x:v>
      </x:c>
      <x:c r="L27" s="7" t="n">
        <x:f>IF(AND(I27&gt;='Summary'!$C$19,I27&lt;='Summary'!$C$17,J27=1),1,0)</x:f>
        <x:v>1</x:v>
      </x:c>
      <x:c r="M27" s="4" t="str">
        <x:v>https://pubmed.ncbi.nlm.nih.gov/38253388/</x:v>
      </x:c>
      <x:c r="N27" s="4" t="str">
        <x:v>PubMed; secondary Crossref rate limited</x:v>
      </x:c>
      <x:c r="O27" s="4" t="str">
        <x:v>2024-01-22</x:v>
      </x:c>
    </x:row>
    <x:row r="28" ht="100" customHeight="1">
      <x:c r="A28" s="4" t="str">
        <x:v>S27</x:v>
      </x:c>
      <x:c r="B28" s="4" t="str">
        <x:v>Rosenblatt M</x:v>
      </x:c>
      <x:c r="C28" s="4" t="str">
        <x:v>Data leakage inflates prediction performance in connectome-based machine learning models</x:v>
      </x:c>
      <x:c r="D28" s="4" t="str">
        <x:v>Nat Commun</x:v>
      </x:c>
      <x:c r="E28" s="4" t="str">
        <x:v>10.1038/s41467-024-46150-w</x:v>
      </x:c>
      <x:c r="F28" s="4" t="str">
        <x:v>38418819</x:v>
      </x:c>
      <x:c r="G28" s="4" t="str">
        <x:v>English</x:v>
      </x:c>
      <x:c r="H28" s="7" t="n">
        <x:v>2024</x:v>
      </x:c>
      <x:c r="I28" s="7" t="n">
        <x:v>2024</x:v>
      </x:c>
      <x:c r="J28" s="7" t="n">
        <x:v>1</x:v>
      </x:c>
      <x:c r="K28" s="7" t="n">
        <x:f>IF(AND(I28&gt;='Summary'!$C$18,I28&lt;='Summary'!$C$17,J28=1),1,0)</x:f>
        <x:v>1</x:v>
      </x:c>
      <x:c r="L28" s="7" t="n">
        <x:f>IF(AND(I28&gt;='Summary'!$C$19,I28&lt;='Summary'!$C$17,J28=1),1,0)</x:f>
        <x:v>1</x:v>
      </x:c>
      <x:c r="M28" s="4" t="str">
        <x:v>https://pubmed.ncbi.nlm.nih.gov/38418819/</x:v>
      </x:c>
      <x:c r="N28" s="4" t="str">
        <x:v>PubMed and Crossref</x:v>
      </x:c>
      <x:c r="O28" s="4" t="str">
        <x:v>2024-02-28</x:v>
      </x:c>
    </x:row>
    <x:row r="29" ht="100" customHeight="1">
      <x:c r="A29" s="4" t="str">
        <x:v>S28</x:v>
      </x:c>
      <x:c r="B29" s="4" t="str">
        <x:v>la Roi-Teeuw HM</x:v>
      </x:c>
      <x:c r="C29" s="4" t="str">
        <x:v>Don't be misled: 3 misconceptions about external validation of clinical prediction models</x:v>
      </x:c>
      <x:c r="D29" s="4" t="str">
        <x:v>J Clin Epidemiol</x:v>
      </x:c>
      <x:c r="E29" s="4" t="str">
        <x:v>10.1016/j.jclinepi.2024.111387</x:v>
      </x:c>
      <x:c r="F29" s="4" t="str">
        <x:v>38729274</x:v>
      </x:c>
      <x:c r="G29" s="4" t="str">
        <x:v>English</x:v>
      </x:c>
      <x:c r="H29" s="7" t="n">
        <x:v>2024</x:v>
      </x:c>
      <x:c r="I29" s="7" t="n">
        <x:v>2024</x:v>
      </x:c>
      <x:c r="J29" s="7" t="n">
        <x:v>1</x:v>
      </x:c>
      <x:c r="K29" s="7" t="n">
        <x:f>IF(AND(I29&gt;='Summary'!$C$18,I29&lt;='Summary'!$C$17,J29=1),1,0)</x:f>
        <x:v>1</x:v>
      </x:c>
      <x:c r="L29" s="7" t="n">
        <x:f>IF(AND(I29&gt;='Summary'!$C$19,I29&lt;='Summary'!$C$17,J29=1),1,0)</x:f>
        <x:v>1</x:v>
      </x:c>
      <x:c r="M29" s="4" t="str">
        <x:v>https://pubmed.ncbi.nlm.nih.gov/38729274/</x:v>
      </x:c>
      <x:c r="N29" s="4" t="str">
        <x:v>PubMed and Crossref</x:v>
      </x:c>
      <x:c r="O29" s="4" t="str">
        <x:v>2024-05-08</x:v>
      </x:c>
    </x:row>
    <x:row r="30" ht="100" customHeight="1">
      <x:c r="A30" s="4" t="str">
        <x:v>S29</x:v>
      </x:c>
      <x:c r="B30" s="4" t="str">
        <x:v>Fatania K</x:v>
      </x:c>
      <x:c r="C30" s="4" t="str">
        <x:v>Impact of intensity standardisation and ComBat batch size on clinical-radiomic prognostic models performance in a multi-centre study of patients with glioblastoma</x:v>
      </x:c>
      <x:c r="D30" s="4" t="str">
        <x:v>Eur Radiol</x:v>
      </x:c>
      <x:c r="E30" s="4" t="str">
        <x:v>10.1007/s00330-024-11168-7</x:v>
      </x:c>
      <x:c r="F30" s="4" t="str">
        <x:v>39607450</x:v>
      </x:c>
      <x:c r="G30" s="4" t="str">
        <x:v>English</x:v>
      </x:c>
      <x:c r="H30" s="7" t="n">
        <x:v>2025</x:v>
      </x:c>
      <x:c r="I30" s="7" t="n">
        <x:v>2024</x:v>
      </x:c>
      <x:c r="J30" s="7" t="n">
        <x:v>1</x:v>
      </x:c>
      <x:c r="K30" s="7" t="n">
        <x:f>IF(AND(I30&gt;='Summary'!$C$18,I30&lt;='Summary'!$C$17,J30=1),1,0)</x:f>
        <x:v>1</x:v>
      </x:c>
      <x:c r="L30" s="7" t="n">
        <x:f>IF(AND(I30&gt;='Summary'!$C$19,I30&lt;='Summary'!$C$17,J30=1),1,0)</x:f>
        <x:v>1</x:v>
      </x:c>
      <x:c r="M30" s="4" t="str">
        <x:v>https://pubmed.ncbi.nlm.nih.gov/39607450/</x:v>
      </x:c>
      <x:c r="N30" s="4" t="str">
        <x:v>PubMed and Crossref</x:v>
      </x:c>
      <x:c r="O30" s="4" t="str">
        <x:v>2024-11-28</x:v>
      </x:c>
    </x:row>
    <x:row r="31" ht="100" customHeight="1">
      <x:c r="A31" s="4" t="str">
        <x:v>S30</x:v>
      </x:c>
      <x:c r="B31" s="4" t="str">
        <x:v>Martin P</x:v>
      </x:c>
      <x:c r="C31" s="4" t="str">
        <x:v>Repeatability of diffusion and perfusion MRI derived radiomic features in glioblastoma: a test-retest study</x:v>
      </x:c>
      <x:c r="D31" s="4" t="str">
        <x:v>Phys Eng Sci Med</x:v>
      </x:c>
      <x:c r="E31" s="4" t="str">
        <x:v>10.1007/s13246-025-01613-2</x:v>
      </x:c>
      <x:c r="F31" s="4" t="str">
        <x:v>40982167</x:v>
      </x:c>
      <x:c r="G31" s="4" t="str">
        <x:v>English</x:v>
      </x:c>
      <x:c r="H31" s="7" t="n">
        <x:v>2025</x:v>
      </x:c>
      <x:c r="I31" s="7" t="n">
        <x:v>2025</x:v>
      </x:c>
      <x:c r="J31" s="7" t="n">
        <x:v>1</x:v>
      </x:c>
      <x:c r="K31" s="7" t="n">
        <x:f>IF(AND(I31&gt;='Summary'!$C$18,I31&lt;='Summary'!$C$17,J31=1),1,0)</x:f>
        <x:v>1</x:v>
      </x:c>
      <x:c r="L31" s="7" t="n">
        <x:f>IF(AND(I31&gt;='Summary'!$C$19,I31&lt;='Summary'!$C$17,J31=1),1,0)</x:f>
        <x:v>1</x:v>
      </x:c>
      <x:c r="M31" s="4" t="str">
        <x:v>https://pubmed.ncbi.nlm.nih.gov/40982167/</x:v>
      </x:c>
      <x:c r="N31" s="4" t="str">
        <x:v>PubMed and Crossref</x:v>
      </x:c>
      <x:c r="O31" s="4" t="str">
        <x:v>2025-09-22</x:v>
      </x:c>
    </x:row>
    <x:row r="32" ht="100" customHeight="1">
      <x:c r="A32" s="4" t="str">
        <x:v>S31</x:v>
      </x:c>
      <x:c r="B32" s="4" t="str">
        <x:v>Foltyn-Dumitru M</x:v>
      </x:c>
      <x:c r="C32" s="4" t="str">
        <x:v>Advancing noninvasive glioma classification with diffusion radiomics: Exploring the impact of signal intensity normalization</x:v>
      </x:c>
      <x:c r="D32" s="4" t="str">
        <x:v>Neurooncol Adv</x:v>
      </x:c>
      <x:c r="E32" s="4" t="str">
        <x:v>10.1093/noajnl/vdae043</x:v>
      </x:c>
      <x:c r="F32" s="4" t="str">
        <x:v>38596719</x:v>
      </x:c>
      <x:c r="G32" s="4" t="str">
        <x:v>English</x:v>
      </x:c>
      <x:c r="H32" s="7" t="n">
        <x:v>2024</x:v>
      </x:c>
      <x:c r="I32" s="7" t="n">
        <x:v>2024</x:v>
      </x:c>
      <x:c r="J32" s="7" t="n">
        <x:v>1</x:v>
      </x:c>
      <x:c r="K32" s="7" t="n">
        <x:f>IF(AND(I32&gt;='Summary'!$C$18,I32&lt;='Summary'!$C$17,J32=1),1,0)</x:f>
        <x:v>1</x:v>
      </x:c>
      <x:c r="L32" s="7" t="n">
        <x:f>IF(AND(I32&gt;='Summary'!$C$19,I32&lt;='Summary'!$C$17,J32=1),1,0)</x:f>
        <x:v>1</x:v>
      </x:c>
      <x:c r="M32" s="4" t="str">
        <x:v>https://pubmed.ncbi.nlm.nih.gov/38596719/</x:v>
      </x:c>
      <x:c r="N32" s="4" t="str">
        <x:v>PubMed and Crossref</x:v>
      </x:c>
      <x:c r="O32" s="4" t="str">
        <x:v>2024-03-22</x:v>
      </x:c>
    </x:row>
    <x:row r="33" ht="100" customHeight="1">
      <x:c r="A33" s="4" t="str">
        <x:v>S32</x:v>
      </x:c>
      <x:c r="B33" s="4" t="str">
        <x:v>Zwanenburg A</x:v>
      </x:c>
      <x:c r="C33" s="4" t="str">
        <x:v>The Image Biomarker Standardization Initiative: Standardized Quantitative Radiomics for High-Throughput Image-based Phenotyping</x:v>
      </x:c>
      <x:c r="D33" s="4" t="str">
        <x:v>Radiology</x:v>
      </x:c>
      <x:c r="E33" s="4" t="str">
        <x:v>10.1148/radiol.2020191145</x:v>
      </x:c>
      <x:c r="F33" s="4" t="str">
        <x:v>32154773</x:v>
      </x:c>
      <x:c r="G33" s="4" t="str">
        <x:v>English</x:v>
      </x:c>
      <x:c r="H33" s="7" t="n">
        <x:v>2020</x:v>
      </x:c>
      <x:c r="I33" s="7" t="n">
        <x:v>2020</x:v>
      </x:c>
      <x:c r="J33" s="7" t="n">
        <x:v>1</x:v>
      </x:c>
      <x:c r="K33" s="7" t="n">
        <x:f>IF(AND(I33&gt;='Summary'!$C$18,I33&lt;='Summary'!$C$17,J33=1),1,0)</x:f>
        <x:v>0</x:v>
      </x:c>
      <x:c r="L33" s="7" t="n">
        <x:f>IF(AND(I33&gt;='Summary'!$C$19,I33&lt;='Summary'!$C$17,J33=1),1,0)</x:f>
        <x:v>0</x:v>
      </x:c>
      <x:c r="M33" s="4" t="str">
        <x:v>https://pubmed.ncbi.nlm.nih.gov/32154773/</x:v>
      </x:c>
      <x:c r="N33" s="4" t="str">
        <x:v>PubMed and Crossref</x:v>
      </x:c>
      <x:c r="O33" s="4" t="str">
        <x:v>2020-03-10</x:v>
      </x:c>
    </x:row>
    <x:row r="34" ht="100" customHeight="1">
      <x:c r="A34" s="4" t="str">
        <x:v>S33</x:v>
      </x:c>
      <x:c r="B34" s="4" t="str">
        <x:v>Kocak B</x:v>
      </x:c>
      <x:c r="C34" s="4" t="str">
        <x:v>METhodological RadiomICs Score (METRICS): a quality scoring tool for radiomics research endorsed by EuSoMII</x:v>
      </x:c>
      <x:c r="D34" s="4" t="str">
        <x:v>Insights Imaging</x:v>
      </x:c>
      <x:c r="E34" s="4" t="str">
        <x:v>10.1186/s13244-023-01572-w</x:v>
      </x:c>
      <x:c r="F34" s="4" t="str">
        <x:v>38228979</x:v>
      </x:c>
      <x:c r="G34" s="4" t="str">
        <x:v>English</x:v>
      </x:c>
      <x:c r="H34" s="7" t="n">
        <x:v>2024</x:v>
      </x:c>
      <x:c r="I34" s="7" t="n">
        <x:v>2024</x:v>
      </x:c>
      <x:c r="J34" s="7" t="n">
        <x:v>1</x:v>
      </x:c>
      <x:c r="K34" s="7" t="n">
        <x:f>IF(AND(I34&gt;='Summary'!$C$18,I34&lt;='Summary'!$C$17,J34=1),1,0)</x:f>
        <x:v>1</x:v>
      </x:c>
      <x:c r="L34" s="7" t="n">
        <x:f>IF(AND(I34&gt;='Summary'!$C$19,I34&lt;='Summary'!$C$17,J34=1),1,0)</x:f>
        <x:v>1</x:v>
      </x:c>
      <x:c r="M34" s="4" t="str">
        <x:v>https://pubmed.ncbi.nlm.nih.gov/38228979/</x:v>
      </x:c>
      <x:c r="N34" s="4" t="str">
        <x:v>PubMed and Crossref</x:v>
      </x:c>
      <x:c r="O34" s="4" t="str">
        <x:v>2024-01-17</x:v>
      </x:c>
    </x:row>
    <x:row r="35" ht="100" customHeight="1">
      <x:c r="A35" s="4" t="str">
        <x:v>S34</x:v>
      </x:c>
      <x:c r="B35" s="4" t="str">
        <x:v>Kocak B</x:v>
      </x:c>
      <x:c r="C35" s="4" t="str">
        <x:v>CheckList for EvaluAtion of Radiomics research (CLEAR): a step-by-step reporting guideline for authors and reviewers endorsed by ESR and EuSoMII</x:v>
      </x:c>
      <x:c r="D35" s="4" t="str">
        <x:v>Insights Imaging</x:v>
      </x:c>
      <x:c r="E35" s="4" t="str">
        <x:v>10.1186/s13244-023-01415-8</x:v>
      </x:c>
      <x:c r="F35" s="4" t="str">
        <x:v>37142815</x:v>
      </x:c>
      <x:c r="G35" s="4" t="str">
        <x:v>English</x:v>
      </x:c>
      <x:c r="H35" s="7" t="n">
        <x:v>2023</x:v>
      </x:c>
      <x:c r="I35" s="7" t="n">
        <x:v>2023</x:v>
      </x:c>
      <x:c r="J35" s="7" t="n">
        <x:v>1</x:v>
      </x:c>
      <x:c r="K35" s="7" t="n">
        <x:f>IF(AND(I35&gt;='Summary'!$C$18,I35&lt;='Summary'!$C$17,J35=1),1,0)</x:f>
        <x:v>1</x:v>
      </x:c>
      <x:c r="L35" s="7" t="n">
        <x:f>IF(AND(I35&gt;='Summary'!$C$19,I35&lt;='Summary'!$C$17,J35=1),1,0)</x:f>
        <x:v>0</x:v>
      </x:c>
      <x:c r="M35" s="4" t="str">
        <x:v>https://pubmed.ncbi.nlm.nih.gov/37142815/</x:v>
      </x:c>
      <x:c r="N35" s="4" t="str">
        <x:v>PubMed and Crossref</x:v>
      </x:c>
      <x:c r="O35" s="4" t="str">
        <x:v>2023-05-04</x:v>
      </x:c>
    </x:row>
    <x:row r="36" ht="100" customHeight="1">
      <x:c r="A36" s="4" t="str">
        <x:v>S35</x:v>
      </x:c>
      <x:c r="B36" s="4" t="str">
        <x:v>Bernett J</x:v>
      </x:c>
      <x:c r="C36" s="4" t="str">
        <x:v>Guiding questions to avoid data leakage in biological machine learning applications</x:v>
      </x:c>
      <x:c r="D36" s="4" t="str">
        <x:v>Nat Methods</x:v>
      </x:c>
      <x:c r="E36" s="4" t="str">
        <x:v>10.1038/s41592-024-02362-y</x:v>
      </x:c>
      <x:c r="F36" s="4" t="str">
        <x:v>39122953</x:v>
      </x:c>
      <x:c r="G36" s="4" t="str">
        <x:v>English</x:v>
      </x:c>
      <x:c r="H36" s="7" t="n">
        <x:v>2024</x:v>
      </x:c>
      <x:c r="I36" s="7" t="n">
        <x:v>2024</x:v>
      </x:c>
      <x:c r="J36" s="7" t="n">
        <x:v>1</x:v>
      </x:c>
      <x:c r="K36" s="7" t="n">
        <x:f>IF(AND(I36&gt;='Summary'!$C$18,I36&lt;='Summary'!$C$17,J36=1),1,0)</x:f>
        <x:v>1</x:v>
      </x:c>
      <x:c r="L36" s="7" t="n">
        <x:f>IF(AND(I36&gt;='Summary'!$C$19,I36&lt;='Summary'!$C$17,J36=1),1,0)</x:f>
        <x:v>1</x:v>
      </x:c>
      <x:c r="M36" s="4" t="str">
        <x:v>https://pubmed.ncbi.nlm.nih.gov/39122953/</x:v>
      </x:c>
      <x:c r="N36" s="4" t="str">
        <x:v>PubMed; secondary Crossref rate limited</x:v>
      </x:c>
      <x:c r="O36" s="4" t="str">
        <x:v>2024-08-09</x:v>
      </x:c>
    </x:row>
    <x:row r="37" ht="100" customHeight="1">
      <x:c r="A37" s="4" t="str">
        <x:v>S36</x:v>
      </x:c>
      <x:c r="B37" s="4" t="str">
        <x:v>Ellingson BM</x:v>
      </x:c>
      <x:c r="C37" s="4" t="str">
        <x:v>A Neuroradiologist's Guide to Operationalizing the Response Assessment in Neuro-Oncology (RANO) Criteria Version 2.0 for Gliomas in Adults</x:v>
      </x:c>
      <x:c r="D37" s="4" t="str">
        <x:v>AJNR Am J Neuroradiol</x:v>
      </x:c>
      <x:c r="E37" s="4" t="str">
        <x:v>10.3174/ajnr.A8396</x:v>
      </x:c>
      <x:c r="F37" s="4" t="str">
        <x:v>38926092</x:v>
      </x:c>
      <x:c r="G37" s="4" t="str">
        <x:v>English</x:v>
      </x:c>
      <x:c r="H37" s="7" t="n">
        <x:v>2024</x:v>
      </x:c>
      <x:c r="I37" s="7" t="n">
        <x:v>2024</x:v>
      </x:c>
      <x:c r="J37" s="7" t="n">
        <x:v>1</x:v>
      </x:c>
      <x:c r="K37" s="7" t="n">
        <x:f>IF(AND(I37&gt;='Summary'!$C$18,I37&lt;='Summary'!$C$17,J37=1),1,0)</x:f>
        <x:v>1</x:v>
      </x:c>
      <x:c r="L37" s="7" t="n">
        <x:f>IF(AND(I37&gt;='Summary'!$C$19,I37&lt;='Summary'!$C$17,J37=1),1,0)</x:f>
        <x:v>1</x:v>
      </x:c>
      <x:c r="M37" s="4" t="str">
        <x:v>https://pubmed.ncbi.nlm.nih.gov/38926092/</x:v>
      </x:c>
      <x:c r="N37" s="4" t="str">
        <x:v>PubMed and Crossref</x:v>
      </x:c>
      <x:c r="O37" s="4" t="str">
        <x:v>2024-12-09</x:v>
      </x:c>
    </x:row>
    <x:row r="38" ht="100" customHeight="1">
      <x:c r="A38" s="4" t="str">
        <x:v>S37</x:v>
      </x:c>
      <x:c r="B38" s="4" t="str">
        <x:v>Maier-Hein L</x:v>
      </x:c>
      <x:c r="C38" s="4" t="str">
        <x:v>Metrics reloaded: recommendations for image analysis validation</x:v>
      </x:c>
      <x:c r="D38" s="4" t="str">
        <x:v>Nat Methods</x:v>
      </x:c>
      <x:c r="E38" s="4" t="str">
        <x:v>10.1038/s41592-023-02151-z</x:v>
      </x:c>
      <x:c r="F38" s="4" t="str">
        <x:v>38347141</x:v>
      </x:c>
      <x:c r="G38" s="4" t="str">
        <x:v>English</x:v>
      </x:c>
      <x:c r="H38" s="7" t="n">
        <x:v>2024</x:v>
      </x:c>
      <x:c r="I38" s="7" t="n">
        <x:v>2024</x:v>
      </x:c>
      <x:c r="J38" s="7" t="n">
        <x:v>1</x:v>
      </x:c>
      <x:c r="K38" s="7" t="n">
        <x:f>IF(AND(I38&gt;='Summary'!$C$18,I38&lt;='Summary'!$C$17,J38=1),1,0)</x:f>
        <x:v>1</x:v>
      </x:c>
      <x:c r="L38" s="7" t="n">
        <x:f>IF(AND(I38&gt;='Summary'!$C$19,I38&lt;='Summary'!$C$17,J38=1),1,0)</x:f>
        <x:v>1</x:v>
      </x:c>
      <x:c r="M38" s="4" t="str">
        <x:v>https://pubmed.ncbi.nlm.nih.gov/38347141/</x:v>
      </x:c>
      <x:c r="N38" s="4" t="str">
        <x:v>PubMed and Crossref</x:v>
      </x:c>
      <x:c r="O38" s="4" t="str">
        <x:v>2024-02-12</x:v>
      </x:c>
    </x:row>
    <x:row r="39" ht="100" customHeight="1">
      <x:c r="A39" s="4" t="str">
        <x:v>S38</x:v>
      </x:c>
      <x:c r="B39" s="4" t="str">
        <x:v>Foltyn-Dumitru M</x:v>
      </x:c>
      <x:c r="C39" s="4" t="str">
        <x:v>Impact of signal intensity normalization of MRI on the generalizability of radiomic-based prediction of molecular glioma subtypes</x:v>
      </x:c>
      <x:c r="D39" s="4" t="str">
        <x:v>Eur Radiol</x:v>
      </x:c>
      <x:c r="E39" s="4" t="str">
        <x:v>10.1007/s00330-023-10034-2</x:v>
      </x:c>
      <x:c r="F39" s="4" t="str">
        <x:v>37672053</x:v>
      </x:c>
      <x:c r="G39" s="4" t="str">
        <x:v>English</x:v>
      </x:c>
      <x:c r="H39" s="7" t="n">
        <x:v>2024</x:v>
      </x:c>
      <x:c r="I39" s="7" t="n">
        <x:v>2023</x:v>
      </x:c>
      <x:c r="J39" s="7" t="n">
        <x:v>1</x:v>
      </x:c>
      <x:c r="K39" s="7" t="n">
        <x:f>IF(AND(I39&gt;='Summary'!$C$18,I39&lt;='Summary'!$C$17,J39=1),1,0)</x:f>
        <x:v>1</x:v>
      </x:c>
      <x:c r="L39" s="7" t="n">
        <x:f>IF(AND(I39&gt;='Summary'!$C$19,I39&lt;='Summary'!$C$17,J39=1),1,0)</x:f>
        <x:v>0</x:v>
      </x:c>
      <x:c r="M39" s="4" t="str">
        <x:v>https://pubmed.ncbi.nlm.nih.gov/37672053/</x:v>
      </x:c>
      <x:c r="N39" s="4" t="str">
        <x:v>PubMed and Crossref</x:v>
      </x:c>
      <x:c r="O39" s="4" t="str">
        <x:v>2023-09-06</x:v>
      </x:c>
    </x:row>
    <x:row r="40" ht="100" customHeight="1">
      <x:c r="A40" s="4" t="str">
        <x:v>S39</x:v>
      </x:c>
      <x:c r="B40" s="4" t="str">
        <x:v>Duenweg SR</x:v>
      </x:c>
      <x:c r="C40" s="4" t="str">
        <x:v>Comparison of intensity normalization methods in prostate, brain, and breast cancer multi-parametric magnetic resonance imaging</x:v>
      </x:c>
      <x:c r="D40" s="4" t="str">
        <x:v>Front Oncol</x:v>
      </x:c>
      <x:c r="E40" s="4" t="str">
        <x:v>10.3389/fonc.2025.1433444</x:v>
      </x:c>
      <x:c r="F40" s="4" t="str">
        <x:v>39990680</x:v>
      </x:c>
      <x:c r="G40" s="4" t="str">
        <x:v>English</x:v>
      </x:c>
      <x:c r="H40" s="7" t="n">
        <x:v>2025</x:v>
      </x:c>
      <x:c r="I40" s="7" t="n">
        <x:v>2025</x:v>
      </x:c>
      <x:c r="J40" s="7" t="n">
        <x:v>1</x:v>
      </x:c>
      <x:c r="K40" s="7" t="n">
        <x:f>IF(AND(I40&gt;='Summary'!$C$18,I40&lt;='Summary'!$C$17,J40=1),1,0)</x:f>
        <x:v>1</x:v>
      </x:c>
      <x:c r="L40" s="7" t="n">
        <x:f>IF(AND(I40&gt;='Summary'!$C$19,I40&lt;='Summary'!$C$17,J40=1),1,0)</x:f>
        <x:v>1</x:v>
      </x:c>
      <x:c r="M40" s="4" t="str">
        <x:v>https://pubmed.ncbi.nlm.nih.gov/39990680/</x:v>
      </x:c>
      <x:c r="N40" s="4" t="str">
        <x:v>PubMed and Crossref</x:v>
      </x:c>
      <x:c r="O40" s="4" t="str">
        <x:v>2025-02-07</x:v>
      </x:c>
    </x:row>
    <x:row r="41" ht="100" customHeight="1">
      <x:c r="A41" s="4" t="str">
        <x:v>S40</x:v>
      </x:c>
      <x:c r="B41" s="4" t="str">
        <x:v>Pedregosa F</x:v>
      </x:c>
      <x:c r="C41" s="4" t="str">
        <x:v>Scikit-learn: Machine Learning in Python</x:v>
      </x:c>
      <x:c r="D41" s="4" t="str">
        <x:v>J Mach Learn Res</x:v>
      </x:c>
      <x:c r="E41" s="4" t="str"/>
      <x:c r="F41" s="4" t="str"/>
      <x:c r="G41" s="4" t="str">
        <x:v>English</x:v>
      </x:c>
      <x:c r="H41" s="7" t="n">
        <x:v>2011</x:v>
      </x:c>
      <x:c r="I41" s="7" t="n">
        <x:v>2011</x:v>
      </x:c>
      <x:c r="J41" s="7" t="n">
        <x:v>1</x:v>
      </x:c>
      <x:c r="K41" s="7" t="n">
        <x:f>IF(AND(I41&gt;='Summary'!$C$18,I41&lt;='Summary'!$C$17,J41=1),1,0)</x:f>
        <x:v>0</x:v>
      </x:c>
      <x:c r="L41" s="7" t="n">
        <x:f>IF(AND(I41&gt;='Summary'!$C$19,I41&lt;='Summary'!$C$17,J41=1),1,0)</x:f>
        <x:v>0</x:v>
      </x:c>
      <x:c r="M41" s="4" t="str">
        <x:v>https://www.jmlr.org/papers/v12/pedregosa11a.html</x:v>
      </x:c>
      <x:c r="N41" s="4" t="str">
        <x:v>No DOI assigned in publisher citation</x:v>
      </x:c>
      <x:c r="O41" s="4" t="str"/>
    </x:row>
  </x:sheetData>
  <x:pageMargins left="0.7" right="0.7" top="0.75" bottom="0.75" header="0.3" footer="0.3"/>
  <x:tableParts count="1">
    <x:tablePart xmlns:r="http://schemas.openxmlformats.org/officeDocument/2006/relationships" r:id="Ra7b60375b5f847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6" hidden="0" customWidth="1"/>
    <x:col min="3" max="3" width="65" hidden="0" customWidth="1"/>
    <x:col min="4" max="4" width="70" hidden="0" customWidth="1"/>
    <x:col min="5" max="5" width="26" hidden="0" customWidth="1"/>
    <x:col min="6" max="6" width="49" hidden="0" customWidth="1"/>
    <x:col min="7" max="7" width="21" hidden="0" customWidth="1"/>
  </x:cols>
  <x:sheetData>
    <x:row r="1" ht="40" customHeight="1">
      <x:c r="A1" s="6" t="str">
        <x:v>ID</x:v>
      </x:c>
      <x:c r="B1" s="6" t="str">
        <x:v>Role</x:v>
      </x:c>
      <x:c r="C1" s="6" t="str">
        <x:v>Supported use</x:v>
      </x:c>
      <x:c r="D1" s="6" t="str">
        <x:v>Limitations / cautions</x:v>
      </x:c>
      <x:c r="E1" s="6" t="str">
        <x:v>V2 outline locations</x:v>
      </x:c>
      <x:c r="F1" s="6" t="str">
        <x:v>Reading level</x:v>
      </x:c>
      <x:c r="G1" s="6" t="str">
        <x:v>Cited in section 2.1</x:v>
      </x:c>
    </x:row>
    <x:row r="2" ht="112" customHeight="1">
      <x:c r="A2" s="4" t="str">
        <x:v>S01</x:v>
      </x:c>
      <x:c r="B2" s="4" t="str">
        <x:v>Data source</x:v>
      </x:c>
      <x:c r="C2" s="4" t="str">
        <x:v>Describes the UCSD-PTGBM cohort, source imaging and annotations, de-identification and original ethics approval.</x:v>
      </x:c>
      <x:c r="D2" s="4" t="str">
        <x:v>Source collection differs from our derived mirror; source acquisition units do not establish units in the mirror.</x:v>
      </x:c>
      <x:c r="E2" s="4" t="str">
        <x:v>M1-M4, M7-M8, D8-D9</x:v>
      </x:c>
      <x:c r="F2" s="4" t="str">
        <x:v>Full text reviewed for relevant claims</x:v>
      </x:c>
      <x:c r="G2" s="7" t="n">
        <x:v>1</x:v>
      </x:c>
    </x:row>
    <x:row r="3" ht="112" customHeight="1">
      <x:c r="A3" s="4" t="str">
        <x:v>S02</x:v>
      </x:c>
      <x:c r="B3" s="4" t="str">
        <x:v>Reporting</x:v>
      </x:c>
      <x:c r="C3" s="4" t="str">
        <x:v>Provides reporting guidance for regression and machine-learning prediction models.</x:v>
      </x:c>
      <x:c r="D3" s="4" t="str">
        <x:v>Reporting guidance does not establish low risk of bias or clinical usefulness.</x:v>
      </x:c>
      <x:c r="E3" s="4" t="str">
        <x:v>M1, M20</x:v>
      </x:c>
      <x:c r="F3" s="4" t="str">
        <x:v>Full text reviewed for relevant claims</x:v>
      </x:c>
      <x:c r="G3" s="7" t="n">
        <x:v>1</x:v>
      </x:c>
    </x:row>
    <x:row r="4" ht="112" customHeight="1">
      <x:c r="A4" s="4" t="str">
        <x:v>S03</x:v>
      </x:c>
      <x:c r="B4" s="4" t="str">
        <x:v>Reporting</x:v>
      </x:c>
      <x:c r="C4" s="4" t="str">
        <x:v>Lists imaging-AI reporting items covering data, reference standards, partitions, performance and errors.</x:v>
      </x:c>
      <x:c r="D4" s="4" t="str">
        <x:v>The complete official checklist was reviewed; no claim that every item has already been fulfilled.</x:v>
      </x:c>
      <x:c r="E4" s="4" t="str">
        <x:v>M1, M7-M20</x:v>
      </x:c>
      <x:c r="F4" s="4" t="str">
        <x:v>Official full checklist reviewed</x:v>
      </x:c>
      <x:c r="G4" s="7" t="n">
        <x:v>1</x:v>
      </x:c>
    </x:row>
    <x:row r="5" ht="112" customHeight="1">
      <x:c r="A5" s="4" t="str">
        <x:v>S04</x:v>
      </x:c>
      <x:c r="B5" s="4" t="str">
        <x:v>Clinical criteria</x:v>
      </x:c>
      <x:c r="C5" s="4" t="str">
        <x:v>Updates response assessment in adult glioma trials, including confirmation in settings with frequent pseudoprogression.</x:v>
      </x:c>
      <x:c r="D5" s="4" t="str">
        <x:v>Our inherited broad treatment-change labels were not independently re-adjudicated using RANO 2.0.</x:v>
      </x:c>
      <x:c r="E5" s="4" t="str">
        <x:v>I2, D8</x:v>
      </x:c>
      <x:c r="F5" s="4" t="str">
        <x:v>Abstract screened; full text needed before detailed comparison</x:v>
      </x:c>
      <x:c r="G5" s="7" t="n">
        <x:v>0</x:v>
      </x:c>
    </x:row>
    <x:row r="6" ht="112" customHeight="1">
      <x:c r="A6" s="4" t="str">
        <x:v>S05</x:v>
      </x:c>
      <x:c r="B6" s="4" t="str">
        <x:v>Clinical context</x:v>
      </x:c>
      <x:c r="C6" s="4" t="str">
        <x:v>Reviews contemporary management and molecular classification of adult glioblastoma.</x:v>
      </x:c>
      <x:c r="D6" s="4" t="str">
        <x:v>The source cohort includes mixed historical diagnostic records; do not label all cases modern IDH-wildtype glioblastoma.</x:v>
      </x:c>
      <x:c r="E6" s="4" t="str">
        <x:v>I1-I2, D8</x:v>
      </x:c>
      <x:c r="F6" s="4" t="str">
        <x:v>Abstract screened; full text needed before detailed comparison</x:v>
      </x:c>
      <x:c r="G6" s="7" t="n">
        <x:v>0</x:v>
      </x:c>
    </x:row>
    <x:row r="7" ht="112" customHeight="1">
      <x:c r="A7" s="4" t="str">
        <x:v>S06</x:v>
      </x:c>
      <x:c r="B7" s="4" t="str">
        <x:v>Fusion study</x:v>
      </x:c>
      <x:c r="C7" s="4" t="str">
        <x:v>Examines a radiomics and clinical-imaging model in 222 patients with internally evaluated incremental performance.</x:v>
      </x:c>
      <x:c r="D7" s="4" t="str">
        <x:v>Different predictors, reference standard and validation design; reported performance is not a direct benchmark.</x:v>
      </x:c>
      <x:c r="E7" s="4" t="str">
        <x:v>I4, D2</x:v>
      </x:c>
      <x:c r="F7" s="4" t="str">
        <x:v>Full text reviewed for relevant claims</x:v>
      </x:c>
      <x:c r="G7" s="7" t="n">
        <x:v>0</x:v>
      </x:c>
    </x:row>
    <x:row r="8" ht="112" customHeight="1">
      <x:c r="A8" s="4" t="str">
        <x:v>S07</x:v>
      </x:c>
      <x:c r="B8" s="4" t="str">
        <x:v>Fusion study</x:v>
      </x:c>
      <x:c r="C8" s="4" t="str">
        <x:v>Evaluates voxel-wise habitat metrics with clinical and molecular inputs in training and external test samples.</x:v>
      </x:c>
      <x:c r="D8" s="4" t="str">
        <x:v>Uses different sequences, features and reference definitions; external testing does not validate our model.</x:v>
      </x:c>
      <x:c r="E8" s="4" t="str">
        <x:v>I4, D2</x:v>
      </x:c>
      <x:c r="F8" s="4" t="str">
        <x:v>Abstract screened; full text needed before detailed comparison</x:v>
      </x:c>
      <x:c r="G8" s="7" t="n">
        <x:v>0</x:v>
      </x:c>
    </x:row>
    <x:row r="9" ht="112" customHeight="1">
      <x:c r="A9" s="4" t="str">
        <x:v>S08</x:v>
      </x:c>
      <x:c r="B9" s="4" t="str">
        <x:v>Fusion study</x:v>
      </x:c>
      <x:c r="C9" s="4" t="str">
        <x:v>Combines ConvNeXt and radiomics signatures with clinical factors in a multicenter glioma study.</x:v>
      </x:c>
      <x:c r="D9" s="4" t="str">
        <x:v>Different model complexity and evaluation; detailed comparison requires full-text review.</x:v>
      </x:c>
      <x:c r="E9" s="4" t="str">
        <x:v>I4, D2</x:v>
      </x:c>
      <x:c r="F9" s="4" t="str">
        <x:v>Abstract screened; full text needed before detailed comparison</x:v>
      </x:c>
      <x:c r="G9" s="7" t="n">
        <x:v>0</x:v>
      </x:c>
    </x:row>
    <x:row r="10" ht="112" customHeight="1">
      <x:c r="A10" s="4" t="str">
        <x:v>S09</x:v>
      </x:c>
      <x:c r="B10" s="4" t="str">
        <x:v>MRI study</x:v>
      </x:c>
      <x:c r="C10" s="4" t="str">
        <x:v>Studies multisequence radiomics for recurrence versus pseudoprogression, including an independent test cohort.</x:v>
      </x:c>
      <x:c r="D10" s="4" t="str">
        <x:v>Uses more modalities and selected high-dimensional inputs; do not transfer its clinical-readiness conclusion.</x:v>
      </x:c>
      <x:c r="E10" s="4" t="str">
        <x:v>I3-I4, D2</x:v>
      </x:c>
      <x:c r="F10" s="4" t="str">
        <x:v>Abstract screened; full text needed before detailed comparison</x:v>
      </x:c>
      <x:c r="G10" s="7" t="n">
        <x:v>0</x:v>
      </x:c>
    </x:row>
    <x:row r="11" ht="112" customHeight="1">
      <x:c r="A11" s="4" t="str">
        <x:v>S10</x:v>
      </x:c>
      <x:c r="B11" s="4" t="str">
        <x:v>MRI study</x:v>
      </x:c>
      <x:c r="C11" s="4" t="str">
        <x:v>Investigates pre- and postoperative enhanced-T1 deep features and clinical information for treatment-response classification.</x:v>
      </x:c>
      <x:c r="D11" s="4" t="str">
        <x:v>Temporal inputs differ from current-scan diagnosis; detailed leakage and validation assessment requires full text.</x:v>
      </x:c>
      <x:c r="E11" s="4" t="str">
        <x:v>I3-I4, D2</x:v>
      </x:c>
      <x:c r="F11" s="4" t="str">
        <x:v>Abstract screened; full text needed before detailed comparison</x:v>
      </x:c>
      <x:c r="G11" s="7" t="n">
        <x:v>0</x:v>
      </x:c>
    </x:row>
    <x:row r="12" ht="112" customHeight="1">
      <x:c r="A12" s="4" t="str">
        <x:v>S11</x:v>
      </x:c>
      <x:c r="B12" s="4" t="str">
        <x:v>ROI study</x:v>
      </x:c>
      <x:c r="C12" s="4" t="str">
        <x:v>Combines intratumoral and peritumoral radiomics and compares imaging-region signatures.</x:v>
      </x:c>
      <x:c r="D12" s="4" t="str">
        <x:v>Small split-sample cohort and different ROI definitions; not evidence for our specific one-voxel erosion rule.</x:v>
      </x:c>
      <x:c r="E12" s="4" t="str">
        <x:v>I3, D2, D6</x:v>
      </x:c>
      <x:c r="F12" s="4" t="str">
        <x:v>Abstract screened; full text needed before detailed comparison</x:v>
      </x:c>
      <x:c r="G12" s="7" t="n">
        <x:v>0</x:v>
      </x:c>
    </x:row>
    <x:row r="13" ht="112" customHeight="1">
      <x:c r="A13" s="4" t="str">
        <x:v>S12</x:v>
      </x:c>
      <x:c r="B13" s="4" t="str">
        <x:v>Fusion study</x:v>
      </x:c>
      <x:c r="C13" s="4" t="str">
        <x:v>Compares radiomics alone and radiomics with MGMT in a pathology-confirmed surgical cohort.</x:v>
      </x:c>
      <x:c r="D13" s="4" t="str">
        <x:v>Surgical selection, perfusion inputs and pathology-only outcome differ; online publication was in 2022.</x:v>
      </x:c>
      <x:c r="E13" s="4" t="str">
        <x:v>I4, D2-D3</x:v>
      </x:c>
      <x:c r="F13" s="4" t="str">
        <x:v>Full text reviewed for relevant claims</x:v>
      </x:c>
      <x:c r="G13" s="7" t="n">
        <x:v>0</x:v>
      </x:c>
    </x:row>
    <x:row r="14" ht="112" customHeight="1">
      <x:c r="A14" s="4" t="str">
        <x:v>S13</x:v>
      </x:c>
      <x:c r="B14" s="4" t="str">
        <x:v>Negative evidence</x:v>
      </x:c>
      <x:c r="C14" s="4" t="str">
        <x:v>Finds no reliable added benefit from several imaging combinations over a clinical and MGMT reference.</x:v>
      </x:c>
      <x:c r="D14" s="4" t="str">
        <x:v>One selected single-center cohort; do not infer that radiomics always reduces performance.</x:v>
      </x:c>
      <x:c r="E14" s="4" t="str">
        <x:v>I4-I5, D3</x:v>
      </x:c>
      <x:c r="F14" s="4" t="str">
        <x:v>Full text reviewed for relevant claims</x:v>
      </x:c>
      <x:c r="G14" s="7" t="n">
        <x:v>0</x:v>
      </x:c>
    </x:row>
    <x:row r="15" ht="112" customHeight="1">
      <x:c r="A15" s="4" t="str">
        <x:v>S14</x:v>
      </x:c>
      <x:c r="B15" s="4" t="str">
        <x:v>Validation study</x:v>
      </x:c>
      <x:c r="C15" s="4" t="str">
        <x:v>Applies a small multiparametric MRI model to a new glioblastoma cohort.</x:v>
      </x:c>
      <x:c r="D15" s="4" t="str">
        <x:v>Mixed-tumor categorization differs between development and evaluation; not external validation of our model.</x:v>
      </x:c>
      <x:c r="E15" s="4" t="str">
        <x:v>I4, D3</x:v>
      </x:c>
      <x:c r="F15" s="4" t="str">
        <x:v>Full text reviewed for relevant claims</x:v>
      </x:c>
      <x:c r="G15" s="7" t="n">
        <x:v>0</x:v>
      </x:c>
    </x:row>
    <x:row r="16" ht="112" customHeight="1">
      <x:c r="A16" s="4" t="str">
        <x:v>S15</x:v>
      </x:c>
      <x:c r="B16" s="4" t="str">
        <x:v>Historical study</x:v>
      </x:c>
      <x:c r="C16" s="4" t="str">
        <x:v>Evaluates conventional enhanced-T1 radiomics against readers in a small post-treatment cohort.</x:v>
      </x:c>
      <x:c r="D16" s="4" t="str">
        <x:v>Older than the five-year window; no reader comparison was performed in our study.</x:v>
      </x:c>
      <x:c r="E16" s="4" t="str">
        <x:v>I3, D3</x:v>
      </x:c>
      <x:c r="F16" s="4" t="str">
        <x:v>Full text reviewed for relevant claims</x:v>
      </x:c>
      <x:c r="G16" s="7" t="n">
        <x:v>0</x:v>
      </x:c>
    </x:row>
    <x:row r="17" ht="112" customHeight="1">
      <x:c r="A17" s="4" t="str">
        <x:v>S16</x:v>
      </x:c>
      <x:c r="B17" s="4" t="str">
        <x:v>Evidence synthesis</x:v>
      </x:c>
      <x:c r="C17" s="4" t="str">
        <x:v>Synthesizes externally tested MRI machine-learning diagnostic performance and documents limited external evidence.</x:v>
      </x:c>
      <x:c r="D17" s="4" t="str">
        <x:v>Pooled performance spans heterogeneous studies and is not a target or acceptance threshold for our model.</x:v>
      </x:c>
      <x:c r="E17" s="4" t="str">
        <x:v>I4-I5, D2-D3, D11</x:v>
      </x:c>
      <x:c r="F17" s="4" t="str">
        <x:v>Abstract screened; full text needed before detailed comparison</x:v>
      </x:c>
      <x:c r="G17" s="7" t="n">
        <x:v>0</x:v>
      </x:c>
    </x:row>
    <x:row r="18" ht="112" customHeight="1">
      <x:c r="A18" s="4" t="str">
        <x:v>S17</x:v>
      </x:c>
      <x:c r="B18" s="4" t="str">
        <x:v>Evidence synthesis</x:v>
      </x:c>
      <x:c r="C18" s="4" t="str">
        <x:v>Summarizes AI performance for progression versus pseudoprogression across high-grade glioma studies.</x:v>
      </x:c>
      <x:c r="D18" s="4" t="str">
        <x:v>Heterogeneous cohorts and standards; avoid importing pooled accuracy into this cohort.</x:v>
      </x:c>
      <x:c r="E18" s="4" t="str">
        <x:v>I4, D3</x:v>
      </x:c>
      <x:c r="F18" s="4" t="str">
        <x:v>Abstract screened; full text needed before detailed comparison</x:v>
      </x:c>
      <x:c r="G18" s="7" t="n">
        <x:v>0</x:v>
      </x:c>
    </x:row>
    <x:row r="19" ht="112" customHeight="1">
      <x:c r="A19" s="4" t="str">
        <x:v>S18</x:v>
      </x:c>
      <x:c r="B19" s="4" t="str">
        <x:v>Clinical framework</x:v>
      </x:c>
      <x:c r="C19" s="4" t="str">
        <x:v>Reviews clinical modifiers and tiered imaging assessment for treatment effects versus progression.</x:v>
      </x:c>
      <x:c r="D19" s="4" t="str">
        <x:v>Proposed framework is not a validated decision tool and includes imaging modalities absent here.</x:v>
      </x:c>
      <x:c r="E19" s="4" t="str">
        <x:v>I2, D8, D11-D12</x:v>
      </x:c>
      <x:c r="F19" s="4" t="str">
        <x:v>Abstract screened; full text needed before detailed comparison</x:v>
      </x:c>
      <x:c r="G19" s="7" t="n">
        <x:v>0</x:v>
      </x:c>
    </x:row>
    <x:row r="20" ht="112" customHeight="1">
      <x:c r="A20" s="4" t="str">
        <x:v>S19</x:v>
      </x:c>
      <x:c r="B20" s="4" t="str">
        <x:v>Same parent dataset</x:v>
      </x:c>
      <x:c r="C20" s="4" t="str">
        <x:v>Uses 171 scans from 130 patients in UCSD-PTGBM to compare radio-pathomic, diffusion and perfusion features.</x:v>
      </x:c>
      <x:c r="D20" s="4" t="str">
        <x:v>Shared parent cohort and different subset/labels; neither an independent external cohort nor proof of our novelty.</x:v>
      </x:c>
      <x:c r="E20" s="4" t="str">
        <x:v>I5, D2-D3</x:v>
      </x:c>
      <x:c r="F20" s="4" t="str">
        <x:v>Abstract screened; full text needed before detailed comparison</x:v>
      </x:c>
      <x:c r="G20" s="7" t="n">
        <x:v>0</x:v>
      </x:c>
    </x:row>
    <x:row r="21" ht="112" customHeight="1">
      <x:c r="A21" s="4" t="str">
        <x:v>S20</x:v>
      </x:c>
      <x:c r="B21" s="4" t="str">
        <x:v>Clinical review</x:v>
      </x:c>
      <x:c r="C21" s="4" t="str">
        <x:v>Discusses radiomics and radiogenomics for progression, pseudoprogression and radiation necrosis.</x:v>
      </x:c>
      <x:c r="D21" s="4" t="str">
        <x:v>A broad review rather than a validation of these eight features or a unified diagnostic reference.</x:v>
      </x:c>
      <x:c r="E21" s="4" t="str">
        <x:v>I2-I4, D8</x:v>
      </x:c>
      <x:c r="F21" s="4" t="str">
        <x:v>Abstract screened; full text needed before detailed comparison</x:v>
      </x:c>
      <x:c r="G21" s="7" t="n">
        <x:v>0</x:v>
      </x:c>
    </x:row>
    <x:row r="22" ht="112" customHeight="1">
      <x:c r="A22" s="4" t="str">
        <x:v>S21</x:v>
      </x:c>
      <x:c r="B22" s="4" t="str">
        <x:v>Clinical review</x:v>
      </x:c>
      <x:c r="C22" s="4" t="str">
        <x:v>Reviews recurrence prediction, localization and differentiation from treatment effects in glioblastoma.</x:v>
      </x:c>
      <x:c r="D22" s="4" t="str">
        <x:v>Future-risk prediction and current-status discrimination are distinct tasks.</x:v>
      </x:c>
      <x:c r="E22" s="4" t="str">
        <x:v>I1-I5, D2-D3</x:v>
      </x:c>
      <x:c r="F22" s="4" t="str">
        <x:v>Abstract screened; full text needed before detailed comparison</x:v>
      </x:c>
      <x:c r="G22" s="7" t="n">
        <x:v>0</x:v>
      </x:c>
    </x:row>
    <x:row r="23" ht="112" customHeight="1">
      <x:c r="A23" s="4" t="str">
        <x:v>S22</x:v>
      </x:c>
      <x:c r="B23" s="4" t="str">
        <x:v>Standardization</x:v>
      </x:c>
      <x:c r="C23" s="4" t="str">
        <x:v>Establishes reference filters and values for reproducible filtered-image radiomics.</x:v>
      </x:c>
      <x:c r="D23" s="4" t="str">
        <x:v>Our pipeline has no convolutional filter features; citation provides context, not certification of implementation.</x:v>
      </x:c>
      <x:c r="E23" s="4" t="str">
        <x:v>D4, D9</x:v>
      </x:c>
      <x:c r="F23" s="4" t="str">
        <x:v>Abstract screened; full text needed before detailed comparison</x:v>
      </x:c>
      <x:c r="G23" s="7" t="n">
        <x:v>0</x:v>
      </x:c>
    </x:row>
    <x:row r="24" ht="112" customHeight="1">
      <x:c r="A24" s="4" t="str">
        <x:v>S23</x:v>
      </x:c>
      <x:c r="B24" s="4" t="str">
        <x:v>Bias appraisal</x:v>
      </x:c>
      <x:c r="C24" s="4" t="str">
        <x:v>Provides an updated quality, bias and applicability framework for prediction-model development and evaluation.</x:v>
      </x:c>
      <x:c r="D24" s="4" t="str">
        <x:v>No formal independent PROBAST+AI appraisal was completed for this project.</x:v>
      </x:c>
      <x:c r="E24" s="4" t="str">
        <x:v>D8-D11</x:v>
      </x:c>
      <x:c r="F24" s="4" t="str">
        <x:v>Abstract screened; full text needed before detailed comparison</x:v>
      </x:c>
      <x:c r="G24" s="7" t="n">
        <x:v>0</x:v>
      </x:c>
    </x:row>
    <x:row r="25" ht="112" customHeight="1">
      <x:c r="A25" s="4" t="str">
        <x:v>S24</x:v>
      </x:c>
      <x:c r="B25" s="4" t="str">
        <x:v>Validation guidance</x:v>
      </x:c>
      <x:c r="C25" s="4" t="str">
        <x:v>Explains internal, internal-external and external evaluation and transportability of prediction models.</x:v>
      </x:c>
      <x:c r="D25" s="4" t="str">
        <x:v>Our grouped cross-validation remains internal evaluation.</x:v>
      </x:c>
      <x:c r="E25" s="4" t="str">
        <x:v>M13-M16, D6, D10-D11</x:v>
      </x:c>
      <x:c r="F25" s="4" t="str">
        <x:v>Abstract screened; full text needed before detailed comparison</x:v>
      </x:c>
      <x:c r="G25" s="7" t="n">
        <x:v>0</x:v>
      </x:c>
    </x:row>
    <x:row r="26" ht="112" customHeight="1">
      <x:c r="A26" s="4" t="str">
        <x:v>S25</x:v>
      </x:c>
      <x:c r="B26" s="4" t="str">
        <x:v>Validation guidance</x:v>
      </x:c>
      <x:c r="C26" s="4" t="str">
        <x:v>Describes design and performance assessment in external validation studies.</x:v>
      </x:c>
      <x:c r="D26" s="4" t="str">
        <x:v>An external dataset is not available here; guidance informs interpretation and future work.</x:v>
      </x:c>
      <x:c r="E26" s="4" t="str">
        <x:v>D10-D12</x:v>
      </x:c>
      <x:c r="F26" s="4" t="str">
        <x:v>Abstract screened; full text needed before detailed comparison</x:v>
      </x:c>
      <x:c r="G26" s="7" t="n">
        <x:v>0</x:v>
      </x:c>
    </x:row>
    <x:row r="27" ht="112" customHeight="1">
      <x:c r="A27" s="4" t="str">
        <x:v>S26</x:v>
      </x:c>
      <x:c r="B27" s="4" t="str">
        <x:v>Sample-size guidance</x:v>
      </x:c>
      <x:c r="C27" s="4" t="str">
        <x:v>Explains precision-based planning of external validation sample sizes rather than simple rules of thumb.</x:v>
      </x:c>
      <x:c r="D27" s="4" t="str">
        <x:v>Our sample was availability-based; no retrospective power or formal prospective sample-size claim.</x:v>
      </x:c>
      <x:c r="E27" s="4" t="str">
        <x:v>M20, D10, D12</x:v>
      </x:c>
      <x:c r="F27" s="4" t="str">
        <x:v>Abstract screened; full text needed before detailed comparison</x:v>
      </x:c>
      <x:c r="G27" s="7" t="n">
        <x:v>0</x:v>
      </x:c>
    </x:row>
    <x:row r="28" ht="112" customHeight="1">
      <x:c r="A28" s="4" t="str">
        <x:v>S27</x:v>
      </x:c>
      <x:c r="B28" s="4" t="str">
        <x:v>Leakage study</x:v>
      </x:c>
      <x:c r="C28" s="4" t="str">
        <x:v>Demonstrates performance inflation from feature-selection leakage and repeated subjects in connectome models.</x:v>
      </x:c>
      <x:c r="D28" s="4" t="str">
        <x:v>Different neuroimaging task; does not quantify bias in our cohort or eliminate annotation-related risks.</x:v>
      </x:c>
      <x:c r="E28" s="4" t="str">
        <x:v>I5, M13, D6, D10</x:v>
      </x:c>
      <x:c r="F28" s="4" t="str">
        <x:v>Abstract screened; full text needed before detailed comparison</x:v>
      </x:c>
      <x:c r="G28" s="7" t="n">
        <x:v>0</x:v>
      </x:c>
    </x:row>
    <x:row r="29" ht="112" customHeight="1">
      <x:c r="A29" s="4" t="str">
        <x:v>S28</x:v>
      </x:c>
      <x:c r="B29" s="4" t="str">
        <x:v>Validation interpretation</x:v>
      </x:c>
      <x:c r="C29" s="4" t="str">
        <x:v>Clarifies why one external validation is not automatically a license for implementation.</x:v>
      </x:c>
      <x:c r="D29" s="4" t="str">
        <x:v>A methodological argument, not evidence that this model can bypass independent clinical evaluation.</x:v>
      </x:c>
      <x:c r="E29" s="4" t="str">
        <x:v>D11-D12</x:v>
      </x:c>
      <x:c r="F29" s="4" t="str">
        <x:v>Abstract screened; full text needed before detailed comparison</x:v>
      </x:c>
      <x:c r="G29" s="7" t="n">
        <x:v>0</x:v>
      </x:c>
    </x:row>
    <x:row r="30" ht="112" customHeight="1">
      <x:c r="A30" s="4" t="str">
        <x:v>S29</x:v>
      </x:c>
      <x:c r="B30" s="4" t="str">
        <x:v>MRI preprocessing</x:v>
      </x:c>
      <x:c r="C30" s="4" t="str">
        <x:v>Examines how intensity standardization and harmonization affect multicenter glioblastoma survival models.</x:v>
      </x:c>
      <x:c r="D30" s="4" t="str">
        <x:v>Survival endpoint differs; better discrimination may coexist with poorer calibration or stability.</x:v>
      </x:c>
      <x:c r="E30" s="4" t="str">
        <x:v>M9, D9-D11</x:v>
      </x:c>
      <x:c r="F30" s="4" t="str">
        <x:v>Abstract screened; full text needed before detailed comparison</x:v>
      </x:c>
      <x:c r="G30" s="7" t="n">
        <x:v>0</x:v>
      </x:c>
    </x:row>
    <x:row r="31" ht="112" customHeight="1">
      <x:c r="A31" s="4" t="str">
        <x:v>S30</x:v>
      </x:c>
      <x:c r="B31" s="4" t="str">
        <x:v>MRI repeatability</x:v>
      </x:c>
      <x:c r="C31" s="4" t="str">
        <x:v>Uses repeated scans to assess diffusion and perfusion radiomic repeatability in glioblastoma.</x:v>
      </x:c>
      <x:c r="D31" s="4" t="str">
        <x:v>Different quantitative sequences; no test-retest experiment was performed on our derived images.</x:v>
      </x:c>
      <x:c r="E31" s="4" t="str">
        <x:v>D6, D9</x:v>
      </x:c>
      <x:c r="F31" s="4" t="str">
        <x:v>Abstract screened; full text needed before detailed comparison</x:v>
      </x:c>
      <x:c r="G31" s="7" t="n">
        <x:v>0</x:v>
      </x:c>
    </x:row>
    <x:row r="32" ht="112" customHeight="1">
      <x:c r="A32" s="4" t="str">
        <x:v>S31</x:v>
      </x:c>
      <x:c r="B32" s="4" t="str">
        <x:v>MRI preprocessing</x:v>
      </x:c>
      <x:c r="C32" s="4" t="str">
        <x:v>Tests diffusion normalization and glioma molecular classification with external evaluation.</x:v>
      </x:c>
      <x:c r="D32" s="4" t="str">
        <x:v>Different endpoint and ADC measurements; does not justify quantitative ADC use in our uint8 inputs.</x:v>
      </x:c>
      <x:c r="E32" s="4" t="str">
        <x:v>D9</x:v>
      </x:c>
      <x:c r="F32" s="4" t="str">
        <x:v>Abstract screened; full text needed before detailed comparison</x:v>
      </x:c>
      <x:c r="G32" s="7" t="n">
        <x:v>0</x:v>
      </x:c>
    </x:row>
    <x:row r="33" ht="112" customHeight="1">
      <x:c r="A33" s="4" t="str">
        <x:v>S32</x:v>
      </x:c>
      <x:c r="B33" s="4" t="str">
        <x:v>Feature definitions</x:v>
      </x:c>
      <x:c r="C33" s="4" t="str">
        <x:v>Provides standardized handcrafted feature definitions and benchmark values.</x:v>
      </x:c>
      <x:c r="D33" s="4" t="str">
        <x:v>Older methodological reference; our hand-checked calculations are not complete IBSI certification.</x:v>
      </x:c>
      <x:c r="E33" s="4" t="str">
        <x:v>M10-M11, D9</x:v>
      </x:c>
      <x:c r="F33" s="4" t="str">
        <x:v>Abstract screened; full text needed before detailed comparison</x:v>
      </x:c>
      <x:c r="G33" s="7" t="n">
        <x:v>0</x:v>
      </x:c>
    </x:row>
    <x:row r="34" ht="112" customHeight="1">
      <x:c r="A34" s="4" t="str">
        <x:v>S33</x:v>
      </x:c>
      <x:c r="B34" s="4" t="str">
        <x:v>Quality framework</x:v>
      </x:c>
      <x:c r="C34" s="4" t="str">
        <x:v>Defines METRICS categories for methodological quality of radiomics studies.</x:v>
      </x:c>
      <x:c r="D34" s="4" t="str">
        <x:v>We have not generated a METRICS score; no quality score is inferred from reporting alone.</x:v>
      </x:c>
      <x:c r="E34" s="4" t="str">
        <x:v>I5, D4, D10</x:v>
      </x:c>
      <x:c r="F34" s="4" t="str">
        <x:v>Abstract screened; full text needed before detailed comparison</x:v>
      </x:c>
      <x:c r="G34" s="7" t="n">
        <x:v>0</x:v>
      </x:c>
    </x:row>
    <x:row r="35" ht="112" customHeight="1">
      <x:c r="A35" s="4" t="str">
        <x:v>S34</x:v>
      </x:c>
      <x:c r="B35" s="4" t="str">
        <x:v>Radiomics reporting</x:v>
      </x:c>
      <x:c r="C35" s="4" t="str">
        <x:v>Specifies radiomics reporting details for image processing, features, reliability and validation.</x:v>
      </x:c>
      <x:c r="D35" s="4" t="str">
        <x:v>Guideline use does not mean reader reproducibility or software benchmark testing was completed.</x:v>
      </x:c>
      <x:c r="E35" s="4" t="str">
        <x:v>M7-M20, D9</x:v>
      </x:c>
      <x:c r="F35" s="4" t="str">
        <x:v>Abstract screened; full text needed before detailed comparison</x:v>
      </x:c>
      <x:c r="G35" s="7" t="n">
        <x:v>0</x:v>
      </x:c>
    </x:row>
    <x:row r="36" ht="112" customHeight="1">
      <x:c r="A36" s="4" t="str">
        <x:v>S35</x:v>
      </x:c>
      <x:c r="B36" s="4" t="str">
        <x:v>Leakage guidance</x:v>
      </x:c>
      <x:c r="C36" s="4" t="str">
        <x:v>Describes dependency-aware questions for identifying leakage between model development and evaluation.</x:v>
      </x:c>
      <x:c r="D36" s="4" t="str">
        <x:v>General biological learning guidance; outcome-informed annotation risk remains a separate issue.</x:v>
      </x:c>
      <x:c r="E36" s="4" t="str">
        <x:v>M13, D8, D10</x:v>
      </x:c>
      <x:c r="F36" s="4" t="str">
        <x:v>Abstract screened; full text needed before detailed comparison</x:v>
      </x:c>
      <x:c r="G36" s="7" t="n">
        <x:v>0</x:v>
      </x:c>
    </x:row>
    <x:row r="37" ht="112" customHeight="1">
      <x:c r="A37" s="4" t="str">
        <x:v>S36</x:v>
      </x:c>
      <x:c r="B37" s="4" t="str">
        <x:v>Clinical criteria</x:v>
      </x:c>
      <x:c r="C37" s="4" t="str">
        <x:v>Explains practical implementation of RANO 2.0 in adult glioma imaging trials.</x:v>
      </x:c>
      <x:c r="D37" s="4" t="str">
        <x:v>Our records do not permit a new RANO 2.0 clinical adjudication.</x:v>
      </x:c>
      <x:c r="E37" s="4" t="str">
        <x:v>I2, D8</x:v>
      </x:c>
      <x:c r="F37" s="4" t="str">
        <x:v>Abstract screened; full text needed before detailed comparison</x:v>
      </x:c>
      <x:c r="G37" s="7" t="n">
        <x:v>0</x:v>
      </x:c>
    </x:row>
    <x:row r="38" ht="112" customHeight="1">
      <x:c r="A38" s="4" t="str">
        <x:v>S37</x:v>
      </x:c>
      <x:c r="B38" s="4" t="str">
        <x:v>Metrics guidance</x:v>
      </x:c>
      <x:c r="C38" s="4" t="str">
        <x:v>Connects validation metric selection with task, dataset and decision context.</x:v>
      </x:c>
      <x:c r="D38" s="4" t="str">
        <x:v>Metric recommendations do not convert AUC into demonstrated clinical utility.</x:v>
      </x:c>
      <x:c r="E38" s="4" t="str">
        <x:v>M14-M16, D11</x:v>
      </x:c>
      <x:c r="F38" s="4" t="str">
        <x:v>Abstract screened; full text needed before detailed comparison</x:v>
      </x:c>
      <x:c r="G38" s="7" t="n">
        <x:v>0</x:v>
      </x:c>
    </x:row>
    <x:row r="39" ht="112" customHeight="1">
      <x:c r="A39" s="4" t="str">
        <x:v>S38</x:v>
      </x:c>
      <x:c r="B39" s="4" t="str">
        <x:v>MRI preprocessing</x:v>
      </x:c>
      <x:c r="C39" s="4" t="str">
        <x:v>Studies normalization effects on glioma subtype models and external generalization.</x:v>
      </x:c>
      <x:c r="D39" s="4" t="str">
        <x:v>First online in 2023 despite a 2024 issue; molecular classification differs from this diagnostic task.</x:v>
      </x:c>
      <x:c r="E39" s="4" t="str">
        <x:v>M9, D9</x:v>
      </x:c>
      <x:c r="F39" s="4" t="str">
        <x:v>Abstract screened; full text needed before detailed comparison</x:v>
      </x:c>
      <x:c r="G39" s="7" t="n">
        <x:v>0</x:v>
      </x:c>
    </x:row>
    <x:row r="40" ht="112" customHeight="1">
      <x:c r="A40" s="4" t="str">
        <x:v>S39</x:v>
      </x:c>
      <x:c r="B40" s="4" t="str">
        <x:v>MRI preprocessing</x:v>
      </x:c>
      <x:c r="C40" s="4" t="str">
        <x:v>Compares intensity normalization and resulting radiomics across multiple organs and MRI acquisition settings.</x:v>
      </x:c>
      <x:c r="D40" s="4" t="str">
        <x:v>Results do not establish that our percentile transformation is optimal or restore original image intensities.</x:v>
      </x:c>
      <x:c r="E40" s="4" t="str">
        <x:v>M9, D9</x:v>
      </x:c>
      <x:c r="F40" s="4" t="str">
        <x:v>Abstract screened; full text needed before detailed comparison</x:v>
      </x:c>
      <x:c r="G40" s="7" t="n">
        <x:v>0</x:v>
      </x:c>
    </x:row>
    <x:row r="41" ht="112" customHeight="1">
      <x:c r="A41" s="4" t="str">
        <x:v>S40</x:v>
      </x:c>
      <x:c r="B41" s="4" t="str">
        <x:v>Software</x:v>
      </x:c>
      <x:c r="C41" s="4" t="str">
        <x:v>Documents the scikit-learn machine-learning library used in our implementation.</x:v>
      </x:c>
      <x:c r="D41" s="4" t="str">
        <x:v>The 2011 software paper does not specify the behavior of installed version 1.8.0; retain versioned code and documentation.</x:v>
      </x:c>
      <x:c r="E41" s="4" t="str">
        <x:v>M12-M13, M20</x:v>
      </x:c>
      <x:c r="F41" s="4" t="str">
        <x:v>Publisher metadata and abstract reviewed</x:v>
      </x:c>
      <x:c r="G41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2dbf92283e4db0"/>
  </x:tableParts>
</x:worksheet>
</file>