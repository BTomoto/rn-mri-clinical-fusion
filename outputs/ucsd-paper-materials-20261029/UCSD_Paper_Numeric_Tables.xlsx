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8fbdec3a3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815728c22c4b44aa"/>
    <x:sheet xmlns:r="http://schemas.openxmlformats.org/officeDocument/2006/relationships" name="Table1" sheetId="2" r:id="R12b5038520e14097"/>
    <x:sheet xmlns:r="http://schemas.openxmlformats.org/officeDocument/2006/relationships" name="Table2" sheetId="3" r:id="R63b84590cd8b44d7"/>
    <x:sheet xmlns:r="http://schemas.openxmlformats.org/officeDocument/2006/relationships" name="Table3" sheetId="4" r:id="R0ceac15cff0e4f84"/>
    <x:sheet xmlns:r="http://schemas.openxmlformats.org/officeDocument/2006/relationships" name="TableS1" sheetId="5" r:id="R3184f4f39f2c49f2"/>
    <x:sheet xmlns:r="http://schemas.openxmlformats.org/officeDocument/2006/relationships" name="TableS2" sheetId="6" r:id="R8819b78130af4f9f"/>
    <x:sheet xmlns:r="http://schemas.openxmlformats.org/officeDocument/2006/relationships" name="TableS3" sheetId="7" r:id="Re2f322a0cc8045e4"/>
    <x:sheet xmlns:r="http://schemas.openxmlformats.org/officeDocument/2006/relationships" name="TableS4" sheetId="8" r:id="R4633a3e6edd44b97"/>
    <x:sheet xmlns:r="http://schemas.openxmlformats.org/officeDocument/2006/relationships" name="TableS5A" sheetId="9" r:id="R9673792141c941fb"/>
    <x:sheet xmlns:r="http://schemas.openxmlformats.org/officeDocument/2006/relationships" name="TableS5B" sheetId="10" r:id="Re4d60e23d7e64f26"/>
    <x:sheet xmlns:r="http://schemas.openxmlformats.org/officeDocument/2006/relationships" name="TableS6" sheetId="11" r:id="Rd029db8b8f624b6b"/>
    <x:sheet xmlns:r="http://schemas.openxmlformats.org/officeDocument/2006/relationships" name="TableS7" sheetId="12" r:id="R88cf2fc11dcb4f8e"/>
    <x:sheet xmlns:r="http://schemas.openxmlformats.org/officeDocument/2006/relationships" name="BaselineNumbers" sheetId="13" r:id="Ra7fc0f13299d49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"/>
    <x:numFmt numFmtId="202" formatCode="0"/>
    <x:numFmt numFmtId="203" formatCode="#,##0"/>
    <x:numFmt numFmtId="204" formatCode="0.0%"/>
  </x:numFmts>
  <x:fonts count="5">
    <x:font>
      <x:sz val="11"/>
      <x:name val="Carlito"/>
    </x:font>
    <x:font>
      <x:sz val="10"/>
      <x:color rgb="FF263747"/>
      <x:name val="Arial"/>
    </x:font>
    <x:font>
      <x:b/>
      <x:sz val="10"/>
      <x:color rgb="FFFFFFFF"/>
      <x:name val="Arial"/>
    </x:font>
    <x:font>
      <x:sz val="10"/>
      <x:color rgb="FF536474"/>
      <x:name val="Arial"/>
    </x:font>
    <x:font>
      <x:b/>
      <x:sz val="15"/>
      <x:color rgb="FF20384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556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 wrapText="1"/>
    </x:xf>
    <x:xf numFmtId="203" fontId="2" fillId="2" borderId="0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4" fontId="2" fillId="2" borderId="0" xfId="0" applyNumberFormat="1" applyFont="1" applyFill="1" applyBorder="1" applyAlignment="1">
      <x:alignment vertical="center"/>
    </x:xf>
    <x:xf numFmtId="204" fontId="2" fillId="2" borderId="0" xfId="0" applyNumberFormat="1" applyFont="1" applyFill="1" applyBorder="1" applyAlignment="1">
      <x:alignment vertical="center" wrapText="1"/>
    </x:xf>
    <x:xf numFmtId="204" fontId="2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170af8b524b0e" /><Relationship Type="http://schemas.openxmlformats.org/officeDocument/2006/relationships/theme" Target="/xl/theme/theme1.xml" Id="R782d4691f96048de" /><Relationship Type="http://schemas.openxmlformats.org/officeDocument/2006/relationships/sharedStrings" Target="/xl/sharedStrings.xml" Id="Rb1e8699b0b5547e8" /><Relationship Type="http://schemas.openxmlformats.org/officeDocument/2006/relationships/worksheet" Target="/xl/worksheets/sheet1.xml" Id="R815728c22c4b44aa" /><Relationship Type="http://schemas.openxmlformats.org/officeDocument/2006/relationships/worksheet" Target="/xl/worksheets/sheet2.xml" Id="R12b5038520e14097" /><Relationship Type="http://schemas.openxmlformats.org/officeDocument/2006/relationships/worksheet" Target="/xl/worksheets/sheet3.xml" Id="R63b84590cd8b44d7" /><Relationship Type="http://schemas.openxmlformats.org/officeDocument/2006/relationships/worksheet" Target="/xl/worksheets/sheet4.xml" Id="R0ceac15cff0e4f84" /><Relationship Type="http://schemas.openxmlformats.org/officeDocument/2006/relationships/worksheet" Target="/xl/worksheets/sheet5.xml" Id="R3184f4f39f2c49f2" /><Relationship Type="http://schemas.openxmlformats.org/officeDocument/2006/relationships/worksheet" Target="/xl/worksheets/sheet6.xml" Id="R8819b78130af4f9f" /><Relationship Type="http://schemas.openxmlformats.org/officeDocument/2006/relationships/worksheet" Target="/xl/worksheets/sheet7.xml" Id="Re2f322a0cc8045e4" /><Relationship Type="http://schemas.openxmlformats.org/officeDocument/2006/relationships/worksheet" Target="/xl/worksheets/sheet8.xml" Id="R4633a3e6edd44b97" /><Relationship Type="http://schemas.openxmlformats.org/officeDocument/2006/relationships/worksheet" Target="/xl/worksheets/sheet9.xml" Id="R9673792141c941fb" /><Relationship Type="http://schemas.openxmlformats.org/officeDocument/2006/relationships/worksheet" Target="/xl/worksheets/sheet10.xml" Id="Re4d60e23d7e64f26" /><Relationship Type="http://schemas.openxmlformats.org/officeDocument/2006/relationships/worksheet" Target="/xl/worksheets/sheet11.xml" Id="Rd029db8b8f624b6b" /><Relationship Type="http://schemas.openxmlformats.org/officeDocument/2006/relationships/worksheet" Target="/xl/worksheets/sheet12.xml" Id="R88cf2fc11dcb4f8e" /><Relationship Type="http://schemas.openxmlformats.org/officeDocument/2006/relationships/worksheet" Target="/xl/worksheets/sheet13.xml" Id="Ra7fc0f13299d4968" /></Relationships>
</file>

<file path=xl/tables/table1.xml><?xml version="1.0" encoding="utf-8"?>
<x:table xmlns:x="http://schemas.openxmlformats.org/spreadsheetml/2006/main" id="1" name="PaperTable1" displayName="PaperTable1" ref="A1:D11" headerRowCount="1" totalsRowCount="0" totalsRowShown="0">
  <x:tableColumns count="4">
    <x:tableColumn id="1" name="指标"/>
    <x:tableColumn id="2" name="全部影像扫描"/>
    <x:tableColumn id="3" name="肿瘤扫描"/>
    <x:tableColumn id="4" name="治疗改变扫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perTable2" displayName="PaperTable2" ref="A1:H5" headerRowCount="1" totalsRowCount="0" totalsRowShown="0">
  <x:tableColumns count="8">
    <x:tableColumn id="1" name="模型"/>
    <x:tableColumn id="2" name="AUC"/>
    <x:tableColumn id="3" name="CI_lower"/>
    <x:tableColumn id="4" name="CI_upper"/>
    <x:tableColumn id="5" name="Brier"/>
    <x:tableColumn id="6" name="AP_TC"/>
    <x:tableColumn id="7" name="TC_correct"/>
    <x:tableColumn id="8" name="TC_tot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perTable3" displayName="PaperTable3" ref="A1:D5" headerRowCount="1" totalsRowCount="0" totalsRowShown="0">
  <x:tableColumns count="4">
    <x:tableColumn id="1" name="指标"/>
    <x:tableColumn id="2" name="差值"/>
    <x:tableColumn id="3" name="CI_lower"/>
    <x:tableColumn id="4" name="CI_upp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perTableS1" displayName="PaperTableS1" ref="A1:D11" headerRowCount="1" totalsRowCount="0" totalsRowShown="0">
  <x:tableColumns count="4">
    <x:tableColumn id="1" name="指标"/>
    <x:tableColumn id="2" name="临床全集"/>
    <x:tableColumn id="3" name="影像覆盖"/>
    <x:tableColumn id="4" name="影像未覆盖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perTableS2" displayName="PaperTableS2" ref="A1:D14" headerRowCount="1" totalsRowCount="0" totalsRowShown="0">
  <x:tableColumns count="4">
    <x:tableColumn id="1" name="变量"/>
    <x:tableColumn id="2" name="含义"/>
    <x:tableColumn id="3" name="纳入模型"/>
    <x:tableColumn id="4" name="处理与单位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perTableS3" displayName="PaperTableS3" ref="A1:H5" headerRowCount="1" totalsRowCount="0" totalsRowShown="0">
  <x:tableColumns count="8">
    <x:tableColumn id="1" name="模型"/>
    <x:tableColumn id="2" name="TC_correct"/>
    <x:tableColumn id="3" name="TC_total"/>
    <x:tableColumn id="4" name="Tumor_correct"/>
    <x:tableColumn id="5" name="Tumor_total"/>
    <x:tableColumn id="6" name="Balanced_accuracy"/>
    <x:tableColumn id="7" name="Calibration_offset"/>
    <x:tableColumn id="8" name="Calibration_slop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perTableS4" displayName="PaperTableS4" ref="A1:H5" headerRowCount="1" totalsRowCount="0" totalsRowShown="0">
  <x:tableColumns count="8">
    <x:tableColumn id="1" name="模型"/>
    <x:tableColumn id="2" name="AUC"/>
    <x:tableColumn id="3" name="CI_lower"/>
    <x:tableColumn id="4" name="CI_upper"/>
    <x:tableColumn id="5" name="Brier"/>
    <x:tableColumn id="6" name="AP_TC"/>
    <x:tableColumn id="7" name="TC_correct"/>
    <x:tableColumn id="8" name="TC_tota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perTableS5A" displayName="PaperTableS5A" ref="A1:G5" headerRowCount="1" totalsRowCount="0" totalsRowShown="0">
  <x:tableColumns count="7">
    <x:tableColumn id="1" name="模型"/>
    <x:tableColumn id="2" name="AUC_median"/>
    <x:tableColumn id="3" name="AUC_q25"/>
    <x:tableColumn id="4" name="AUC_q75"/>
    <x:tableColumn id="5" name="AUC_min"/>
    <x:tableColumn id="6" name="AUC_max"/>
    <x:tableColumn id="7" name="Brier_media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perTableS5B" displayName="PaperTableS5B" ref="A1:H5" headerRowCount="1" totalsRowCount="0" totalsRowShown="0">
  <x:tableColumns count="8">
    <x:tableColumn id="1" name="指标"/>
    <x:tableColumn id="2" name="Median"/>
    <x:tableColumn id="3" name="Q25"/>
    <x:tableColumn id="4" name="Q75"/>
    <x:tableColumn id="5" name="Minimum"/>
    <x:tableColumn id="6" name="Maximum"/>
    <x:tableColumn id="7" name="Favourable_repeats"/>
    <x:tableColumn id="8" name="Total_repeat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perTableS6" displayName="PaperTableS6" ref="A1:H5" headerRowCount="1" totalsRowCount="0" totalsRowShown="0">
  <x:tableColumns count="8">
    <x:tableColumn id="1" name="模型"/>
    <x:tableColumn id="2" name="AUC"/>
    <x:tableColumn id="3" name="CI_lower"/>
    <x:tableColumn id="4" name="CI_upper"/>
    <x:tableColumn id="5" name="Brier"/>
    <x:tableColumn id="6" name="AP_TC"/>
    <x:tableColumn id="7" name="TC_correct"/>
    <x:tableColumn id="8" name="TC_tota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perTableS7" displayName="PaperTableS7" ref="A1:D5" headerRowCount="1" totalsRowCount="0" totalsRowShown="0">
  <x:tableColumns count="4">
    <x:tableColumn id="1" name="指标"/>
    <x:tableColumn id="2" name="差值"/>
    <x:tableColumn id="3" name="CI_lower"/>
    <x:tableColumn id="4" name="CI_uppe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perBaselineNumbers" displayName="PaperBaselineNumbers" ref="A1:L61" headerRowCount="1" totalsRowCount="0" totalsRowShown="0">
  <x:tableColumns count="12">
    <x:tableColumn id="1" name="table_id"/>
    <x:tableColumn id="2" name="cohort"/>
    <x:tableColumn id="3" name="variable"/>
    <x:tableColumn id="4" name="statistic"/>
    <x:tableColumn id="5" name="scan_denominator"/>
    <x:tableColumn id="6" name="patient_count"/>
    <x:tableColumn id="7" name="observed_n"/>
    <x:tableColumn id="8" name="count"/>
    <x:tableColumn id="9" name="percent"/>
    <x:tableColumn id="10" name="median"/>
    <x:tableColumn id="11" name="q25"/>
    <x:tableColumn id="12" name="q7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770b4590884a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f34374c75d41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20931bdbc84d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6049d56dc349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62ec9d20194e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3d0748e80143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9d1e0308c74c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a0fce71e0a444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acadb1f338844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6e43c89eb87439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8641fd10d1b4ac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927ebaffcc14c9b" /></Relationships>
</file>

<file path=xl/worksheets/sheet1.xml><?xml version="1.0" encoding="utf-8"?>
<x:worksheet xmlns:x="http://schemas.openxmlformats.org/spreadsheetml/2006/main">
  <x:sheetPr>
    <x:tabColor rgb="FF35556D"/>
  </x:sheetPr>
  <x:sheetViews>
    <x:sheetView showGridLines="0" workbookViewId="0"/>
  </x:sheetViews>
  <x:sheetFormatPr defaultRowHeight="15"/>
  <x:cols>
    <x:col min="2" max="2" width="38" hidden="0" customWidth="1"/>
    <x:col min="3" max="3" width="65" hidden="0" customWidth="1"/>
    <x:col min="4" max="4" width="70" hidden="0" customWidth="1"/>
  </x:cols>
  <x:sheetData>
    <x:row r="2">
      <x:c r="B2" s="25" t="str">
        <x:v>胶质瘤研究表图索引</x:v>
      </x:c>
    </x:row>
    <x:row r="4" ht="46" customHeight="1">
      <x:c r="B4" s="29" t="str">
        <x:v>表编号</x:v>
      </x:c>
      <x:c r="C4" s="29" t="str">
        <x:v>内容</x:v>
      </x:c>
      <x:c r="D4" s="29" t="str">
        <x:v>数据行数</x:v>
      </x:c>
    </x:row>
    <x:row r="5" ht="30" customHeight="1">
      <x:c r="B5" s="2" t="str">
        <x:v>Table1</x:v>
      </x:c>
      <x:c r="C5" s="2" t="str">
        <x:v>表1 主影像队列的临床特征</x:v>
      </x:c>
      <x:c r="D5" s="5" t="n">
        <x:f>COUNTA('Table1'!A2:A11)</x:f>
        <x:v>10</x:v>
      </x:c>
    </x:row>
    <x:row r="6" ht="30" customHeight="1">
      <x:c r="B6" s="2" t="str">
        <x:v>Table2</x:v>
      </x:c>
      <x:c r="C6" s="2" t="str">
        <x:v>表2 主分析的患者分组OOF性能</x:v>
      </x:c>
      <x:c r="D6" s="5" t="n">
        <x:f>COUNTA('Table2'!A2:A5)</x:f>
        <x:v>4</x:v>
      </x:c>
    </x:row>
    <x:row r="7" ht="30" customHeight="1">
      <x:c r="B7" s="2" t="str">
        <x:v>Table3</x:v>
      </x:c>
      <x:c r="C7" s="2" t="str">
        <x:v>表3 融合相对临床的预设增量比较</x:v>
      </x:c>
      <x:c r="D7" s="5" t="n">
        <x:f>COUNTA('Table3'!A2:A5)</x:f>
        <x:v>4</x:v>
      </x:c>
    </x:row>
    <x:row r="8" ht="30" customHeight="1">
      <x:c r="B8" s="2" t="str">
        <x:v>TableS1</x:v>
      </x:c>
      <x:c r="C8" s="2" t="str">
        <x:v>表S1 临床队列与当前镜像覆盖情况</x:v>
      </x:c>
      <x:c r="D8" s="5" t="n">
        <x:f>COUNTA('TableS1'!A2:A11)</x:f>
        <x:v>10</x:v>
      </x:c>
    </x:row>
    <x:row r="9" ht="30" customHeight="1">
      <x:c r="B9" s="2" t="str">
        <x:v>TableS2</x:v>
      </x:c>
      <x:c r="C9" s="2" t="str">
        <x:v>表S2 固定模型变量及处理</x:v>
      </x:c>
      <x:c r="D9" s="5" t="n">
        <x:f>COUNTA('TableS2'!A2:A14)</x:f>
        <x:v>13</x:v>
      </x:c>
    </x:row>
    <x:row r="10" ht="30" customHeight="1">
      <x:c r="B10" s="2" t="str">
        <x:v>TableS3</x:v>
      </x:c>
      <x:c r="C10" s="2" t="str">
        <x:v>表S3 固定阈值识别与描述性校准</x:v>
      </x:c>
      <x:c r="D10" s="5" t="n">
        <x:f>COUNTA('TableS3'!A2:A5)</x:f>
        <x:v>4</x:v>
      </x:c>
    </x:row>
    <x:row r="11" ht="30" customHeight="1">
      <x:c r="B11" s="2" t="str">
        <x:v>TableS4</x:v>
      </x:c>
      <x:c r="C11" s="2" t="str">
        <x:v>表S4 原标注区域与腐蚀边界敏感性</x:v>
      </x:c>
      <x:c r="D11" s="5" t="n">
        <x:f>COUNTA('TableS4'!A2:A5)</x:f>
        <x:v>4</x:v>
      </x:c>
    </x:row>
    <x:row r="12" ht="30" customHeight="1">
      <x:c r="B12" s="2" t="str">
        <x:v>TableS5A</x:v>
      </x:c>
      <x:c r="C12" s="2" t="str">
        <x:v>表S5A 二十套固定患者分组验证的分布</x:v>
      </x:c>
      <x:c r="D12" s="5" t="n">
        <x:f>COUNTA('TableS5A'!A2:A5)</x:f>
        <x:v>4</x:v>
      </x:c>
    </x:row>
    <x:row r="13" ht="30" customHeight="1">
      <x:c r="B13" s="2" t="str">
        <x:v>TableS5B</x:v>
      </x:c>
      <x:c r="C13" s="2" t="str">
        <x:v>表S5B 重复验证中融合减临床的差值</x:v>
      </x:c>
      <x:c r="D13" s="5" t="n">
        <x:f>COUNTA('TableS5B'!A2:A5)</x:f>
        <x:v>4</x:v>
      </x:c>
    </x:row>
    <x:row r="14" ht="30" customHeight="1">
      <x:c r="B14" s="2" t="str">
        <x:v>TableS6</x:v>
      </x:c>
      <x:c r="C14" s="2" t="str">
        <x:v>表S6 每患者单扫描敏感性性能</x:v>
      </x:c>
      <x:c r="D14" s="5" t="n">
        <x:f>COUNTA('TableS6'!A2:A5)</x:f>
        <x:v>4</x:v>
      </x:c>
    </x:row>
    <x:row r="15" ht="30" customHeight="1">
      <x:c r="B15" s="2" t="str">
        <x:v>TableS7</x:v>
      </x:c>
      <x:c r="C15" s="2" t="str">
        <x:v>表S7 单扫描人群中融合减临床的差值</x:v>
      </x:c>
      <x:c r="D15" s="5" t="n">
        <x:f>COUNTA('TableS7'!A2:A5)</x:f>
        <x:v>4</x:v>
      </x:c>
    </x:row>
    <x:row r="16" ht="30" customHeight="1">
      <x:c r="B16" s="2"/>
      <x:c r="C16" s="2"/>
      <x:c r="D16" s="2"/>
    </x:row>
    <x:row r="17" ht="30" customHeight="1">
      <x:c r="B17" s="2"/>
      <x:c r="C17" s="2"/>
      <x:c r="D17" s="2"/>
    </x:row>
    <x:row r="18" ht="46" customHeight="1">
      <x:c r="B18" s="29" t="str">
        <x:v>主结果与敏感性</x:v>
      </x:c>
      <x:c r="C18" s="29" t="str">
        <x:v>AUC或数量</x:v>
      </x:c>
      <x:c r="D18" s="29" t="str">
        <x:v>说明</x:v>
      </x:c>
    </x:row>
    <x:row r="19" ht="30" customHeight="1">
      <x:c r="B19" s="2" t="str">
        <x:v>主分析融合AUC</x:v>
      </x:c>
      <x:c r="C19" s="4" t="n">
        <x:f>'Table2'!B5</x:f>
        <x:v>0.781871648503719</x:v>
      </x:c>
      <x:c r="D19" s="2" t="str">
        <x:v>第18步固定患者分组OOF，未改选最佳重复</x:v>
      </x:c>
    </x:row>
    <x:row r="20" ht="30" customHeight="1">
      <x:c r="B20" s="2" t="str">
        <x:v>单扫描融合AUC</x:v>
      </x:c>
      <x:c r="C20" s="4" t="n">
        <x:f>'TableS6'!B5</x:f>
        <x:v>0.729686242960579</x:v>
      </x:c>
      <x:c r="D20" s="2" t="str">
        <x:v>不同扫描人群，不与182条主分析直接配对比较</x:v>
      </x:c>
    </x:row>
    <x:row r="21" ht="30" customHeight="1">
      <x:c r="B21" s="2" t="str">
        <x:v>单扫描治疗改变正确识别</x:v>
      </x:c>
      <x:c r="C21" s="5" t="n">
        <x:f>'TableS6'!G5</x:f>
        <x:v>2</x:v>
      </x:c>
      <x:c r="D21" s="2" t="str">
        <x:v>分母为22次治疗改变</x:v>
      </x:c>
    </x:row>
    <x:row r="22" ht="30" customHeight="1">
      <x:c r="B22" s="2" t="str">
        <x:v>原影像队列扫描数</x:v>
      </x:c>
      <x:c r="C22" s="5" t="n">
        <x:f>'Table1'!B2</x:f>
        <x:v>182</x:v>
      </x:c>
      <x:c r="D22" s="2" t="str">
        <x:v>扫描数不是患者数</x:v>
      </x:c>
    </x:row>
    <x:row r="23" ht="30" customHeight="1">
      <x:c r="B23" s="2"/>
      <x:c r="C23" s="2"/>
      <x:c r="D23" s="2"/>
    </x:row>
    <x:row r="24" ht="30" customHeight="1">
      <x:c r="B24" s="2"/>
      <x:c r="C24" s="2"/>
      <x:c r="D24" s="2"/>
    </x:row>
    <x:row r="25" ht="30" customHeight="1">
      <x:c r="B25" s="2" t="str">
        <x:v>基线组合显示值的原始数值见BaselineNumbers页；没有新增模型拟合或显著性检验。</x:v>
      </x:c>
      <x:c r="C25" s="2"/>
      <x:c r="D25" s="2"/>
    </x:row>
    <x:row r="26" ht="30" customHeight="1">
      <x:c r="B26" s="2" t="str">
        <x:v>原主分析、边界、20套重复与单扫描结果全部保留；论文正文等待新的写作指示。</x:v>
      </x:c>
      <x:c r="C26" s="2"/>
      <x:c r="D26" s="2"/>
    </x:row>
    <x:row r="27" ht="30" customHeight="1">
      <x:c r="B27" s="2"/>
      <x:c r="C27" s="2"/>
      <x:c r="D27" s="2"/>
    </x:row>
    <x:row r="28" ht="30" customHeight="1">
      <x:c r="B28" s="2" t="str">
        <x:v>数据来源：UCSD-PTGBM，DOI 10.7937/fwv2-dt74；公开镜像github.com/data-nih/tcia/releases。</x:v>
      </x:c>
      <x:c r="C28" s="2"/>
      <x:c r="D2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0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46" customHeight="1">
      <x:c r="A1" s="12" t="str">
        <x:v>指标</x:v>
      </x:c>
      <x:c r="B1" s="13" t="str">
        <x:v>全部影像扫描</x:v>
      </x:c>
      <x:c r="C1" s="13" t="str">
        <x:v>肿瘤扫描</x:v>
      </x:c>
      <x:c r="D1" s="13" t="str">
        <x:v>治疗改变扫描</x:v>
      </x:c>
    </x:row>
    <x:row r="2" ht="30" customHeight="1">
      <x:c r="A2" s="3" t="str">
        <x:v>扫描记录数</x:v>
      </x:c>
      <x:c r="B2" s="5" t="n">
        <x:v>182</x:v>
      </x:c>
      <x:c r="C2" s="5" t="n">
        <x:v>141</x:v>
      </x:c>
      <x:c r="D2" s="5" t="n">
        <x:v>41</x:v>
      </x:c>
    </x:row>
    <x:row r="3" ht="30" customHeight="1">
      <x:c r="A3" s="3" t="str">
        <x:v>源患者数</x:v>
      </x:c>
      <x:c r="B3" s="5" t="n">
        <x:v>135</x:v>
      </x:c>
      <x:c r="C3" s="5" t="n">
        <x:v>114</x:v>
      </x:c>
      <x:c r="D3" s="5" t="n">
        <x:v>29</x:v>
      </x:c>
    </x:row>
    <x:row r="4" ht="30" customHeight="1">
      <x:c r="A4" s="3" t="str">
        <x:v>年龄，岁</x:v>
      </x:c>
      <x:c r="B4" s="4" t="str">
        <x:v>56.5 [49.0, 66.0]</x:v>
      </x:c>
      <x:c r="C4" s="4" t="str">
        <x:v>58.0 [50.0, 67.0]</x:v>
      </x:c>
      <x:c r="D4" s="4" t="str">
        <x:v>54.0 [48.0, 62.0]</x:v>
      </x:c>
    </x:row>
    <x:row r="5" ht="30" customHeight="1">
      <x:c r="A5" s="3" t="str">
        <x:v>男性</x:v>
      </x:c>
      <x:c r="B5" s="4" t="str">
        <x:v>132/182 (72.5%)</x:v>
      </x:c>
      <x:c r="C5" s="4" t="str">
        <x:v>105/141 (74.5%)</x:v>
      </x:c>
      <x:c r="D5" s="4" t="str">
        <x:v>27/41 (65.9%)</x:v>
      </x:c>
    </x:row>
    <x:row r="6" ht="30" customHeight="1">
      <x:c r="A6" s="3" t="str">
        <x:v>肿瘤扫描</x:v>
      </x:c>
      <x:c r="B6" s="4" t="str">
        <x:v>141/182 (77.5%)</x:v>
      </x:c>
      <x:c r="C6" s="4" t="str">
        <x:v>141/141 (100.0%)</x:v>
      </x:c>
      <x:c r="D6" s="4" t="str">
        <x:v>0/41 (0.0%)</x:v>
      </x:c>
    </x:row>
    <x:row r="7" ht="30" customHeight="1">
      <x:c r="A7" s="3" t="str">
        <x:v>治疗改变扫描</x:v>
      </x:c>
      <x:c r="B7" s="4" t="str">
        <x:v>41/182 (22.5%)</x:v>
      </x:c>
      <x:c r="C7" s="4" t="str">
        <x:v>0/141 (0.0%)</x:v>
      </x:c>
      <x:c r="D7" s="4" t="str">
        <x:v>41/41 (100.0%)</x:v>
      </x:c>
    </x:row>
    <x:row r="8" ht="30" customHeight="1">
      <x:c r="A8" s="3" t="str">
        <x:v>距初始事件天数，已知记录</x:v>
      </x:c>
      <x:c r="B8" s="4" t="str">
        <x:v>154.0 [40.5, 359.5]</x:v>
      </x:c>
      <x:c r="C8" s="4" t="str">
        <x:v>96.0 [36.0, 261.8]</x:v>
      </x:c>
      <x:c r="D8" s="4" t="str">
        <x:v>346.0 [140.5, 563.2]</x:v>
      </x:c>
    </x:row>
    <x:row r="9" ht="30" customHeight="1">
      <x:c r="A9" s="3" t="str">
        <x:v>间隔已知记录</x:v>
      </x:c>
      <x:c r="B9" s="4" t="str">
        <x:v>146/182 (80.2%)</x:v>
      </x:c>
      <x:c r="C9" s="4" t="str">
        <x:v>108/141 (76.6%)</x:v>
      </x:c>
      <x:c r="D9" s="4" t="str">
        <x:v>38/41 (92.7%)</x:v>
      </x:c>
    </x:row>
    <x:row r="10" ht="30" customHeight="1">
      <x:c r="A10" s="3" t="str">
        <x:v>间隔缺失记录</x:v>
      </x:c>
      <x:c r="B10" s="4" t="str">
        <x:v>36/182 (19.8%)</x:v>
      </x:c>
      <x:c r="C10" s="4" t="str">
        <x:v>33/141 (23.4%)</x:v>
      </x:c>
      <x:c r="D10" s="4" t="str">
        <x:v>3/41 (7.3%)</x:v>
      </x:c>
    </x:row>
    <x:row r="11" ht="30" customHeight="1">
      <x:c r="A11" s="3" t="str">
        <x:v>扫描前其他治疗</x:v>
      </x:c>
      <x:c r="B11" s="4" t="str">
        <x:v>25/182 (13.7%)</x:v>
      </x:c>
      <x:c r="C11" s="4" t="str">
        <x:v>20/141 (14.2%)</x:v>
      </x:c>
      <x:c r="D11" s="4" t="str">
        <x:v>5/41 (12.2%)</x:v>
      </x:c>
    </x:row>
    <x:row r="14">
      <x:c r="A14" s="14" t="str">
        <x:v>注：连续变量为中位数 [Q1, Q3]。百分比的分母为该列扫描数，不是去重患者数。</x:v>
      </x:c>
    </x:row>
    <x:row r="15">
      <x:c r="A15" s="14" t="str">
        <x:v>注：两类扫描按患者去重为114和29名，其中8名患者在不同扫描出现两类标签，因此不能相加为总患者数。</x:v>
      </x:c>
    </x:row>
    <x:row r="16">
      <x:c r="A16" s="14" t="str">
        <x:v>注：初始事件为源表记录的初始手术、治疗或诊断事件，非统一放疗日期。间隔描述仅使用已知记录，未填补。</x:v>
      </x:c>
    </x:row>
  </x:sheetData>
  <x:pageMargins left="0.7" right="0.7" top="0.75" bottom="0.75" header="0.3" footer="0.3"/>
  <x:tableParts count="1">
    <x:tablePart xmlns:r="http://schemas.openxmlformats.org/officeDocument/2006/relationships" r:id="Re8770b4590884a6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46" customHeight="1">
      <x:c r="A1" s="12" t="str">
        <x:v>模型</x:v>
      </x:c>
      <x:c r="B1" s="13" t="str">
        <x:v>AUC</x:v>
      </x:c>
      <x:c r="C1" s="13" t="str">
        <x:v>CI_lower</x:v>
      </x:c>
      <x:c r="D1" s="13" t="str">
        <x:v>CI_upper</x:v>
      </x:c>
      <x:c r="E1" s="13" t="str">
        <x:v>Brier</x:v>
      </x:c>
      <x:c r="F1" s="13" t="str">
        <x:v>AP_TC</x:v>
      </x:c>
      <x:c r="G1" s="19" t="str">
        <x:v>TC_correct</x:v>
      </x:c>
      <x:c r="H1" s="19" t="str">
        <x:v>TC_total</x:v>
      </x:c>
    </x:row>
    <x:row r="2" ht="30" customHeight="1">
      <x:c r="A2" s="3" t="str">
        <x:v>年龄＋性别</x:v>
      </x:c>
      <x:c r="B2" s="4" t="n">
        <x:v>0.525514616848296</x:v>
      </x:c>
      <x:c r="C2" s="4" t="n">
        <x:v>0.403964140164471</x:v>
      </x:c>
      <x:c r="D2" s="4" t="n">
        <x:v>0.644101357778019</x:v>
      </x:c>
      <x:c r="E2" s="4" t="n">
        <x:v>0.176696750652772</x:v>
      </x:c>
      <x:c r="F2" s="4" t="n">
        <x:v>0.261330576941504</x:v>
      </x:c>
      <x:c r="G2" s="15" t="n">
        <x:v>0</x:v>
      </x:c>
      <x:c r="H2" s="15" t="n">
        <x:v>41</x:v>
      </x:c>
    </x:row>
    <x:row r="3" ht="30" customHeight="1">
      <x:c r="A3" s="3" t="str">
        <x:v>扩展临床</x:v>
      </x:c>
      <x:c r="B3" s="4" t="n">
        <x:v>0.672115550942743</x:v>
      </x:c>
      <x:c r="C3" s="4" t="n">
        <x:v>0.553287494693087</x:v>
      </x:c>
      <x:c r="D3" s="4" t="n">
        <x:v>0.778100367070593</x:v>
      </x:c>
      <x:c r="E3" s="4" t="n">
        <x:v>0.163381387513097</x:v>
      </x:c>
      <x:c r="F3" s="4" t="n">
        <x:v>0.353557016877112</x:v>
      </x:c>
      <x:c r="G3" s="15" t="n">
        <x:v>2</x:v>
      </x:c>
      <x:c r="H3" s="15" t="n">
        <x:v>41</x:v>
      </x:c>
    </x:row>
    <x:row r="4" ht="30" customHeight="1">
      <x:c r="A4" s="3" t="str">
        <x:v>MRI八项</x:v>
      </x:c>
      <x:c r="B4" s="4" t="n">
        <x:v>0.762497837744335</x:v>
      </x:c>
      <x:c r="C4" s="4" t="n">
        <x:v>0.682772749740076</x:v>
      </x:c>
      <x:c r="D4" s="4" t="n">
        <x:v>0.838467446935596</x:v>
      </x:c>
      <x:c r="E4" s="4" t="n">
        <x:v>0.151391711297674</x:v>
      </x:c>
      <x:c r="F4" s="4" t="n">
        <x:v>0.444433458618343</x:v>
      </x:c>
      <x:c r="G4" s="15" t="n">
        <x:v>12</x:v>
      </x:c>
      <x:c r="H4" s="15" t="n">
        <x:v>41</x:v>
      </x:c>
    </x:row>
    <x:row r="5" ht="30" customHeight="1">
      <x:c r="A5" s="3" t="str">
        <x:v>临床＋MRI</x:v>
      </x:c>
      <x:c r="B5" s="4" t="n">
        <x:v>0.781871648503719</x:v>
      </x:c>
      <x:c r="C5" s="4" t="n">
        <x:v>0.697689796127296</x:v>
      </x:c>
      <x:c r="D5" s="4" t="n">
        <x:v>0.859486535339566</x:v>
      </x:c>
      <x:c r="E5" s="4" t="n">
        <x:v>0.144234395040738</x:v>
      </x:c>
      <x:c r="F5" s="4" t="n">
        <x:v>0.505287750462141</x:v>
      </x:c>
      <x:c r="G5" s="15" t="n">
        <x:v>12</x:v>
      </x:c>
      <x:c r="H5" s="15" t="n">
        <x:v>41</x:v>
      </x:c>
    </x:row>
    <x:row r="8">
      <x:c r="A8" s="14" t="str">
        <x:v>注：95%区间为2,000次患者配对bootstrap百分位区间，固定OOF概率，未重拟合模型，不涵盖全部训练和分折变异。</x:v>
      </x:c>
    </x:row>
    <x:row r="9">
      <x:c r="A9" s="14" t="str">
        <x:v>注：AP_TC为治疗改变的平均精确率，使用1减肿瘤概率计算。主队列治疗改变比例为41/182。</x:v>
      </x:c>
    </x:row>
  </x:sheetData>
  <x:pageMargins left="0.7" right="0.7" top="0.75" bottom="0.75" header="0.3" footer="0.3"/>
  <x:tableParts count="1">
    <x:tablePart xmlns:r="http://schemas.openxmlformats.org/officeDocument/2006/relationships" r:id="Rd3f34374c75d41e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0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46" customHeight="1">
      <x:c r="A1" s="12" t="str">
        <x:v>指标</x:v>
      </x:c>
      <x:c r="B1" s="13" t="str">
        <x:v>差值</x:v>
      </x:c>
      <x:c r="C1" s="13" t="str">
        <x:v>CI_lower</x:v>
      </x:c>
      <x:c r="D1" s="13" t="str">
        <x:v>CI_upper</x:v>
      </x:c>
    </x:row>
    <x:row r="2" ht="30" customHeight="1">
      <x:c r="A2" s="3" t="str">
        <x:v>AUC差</x:v>
      </x:c>
      <x:c r="B2" s="4" t="n">
        <x:v>0.109756097560976</x:v>
      </x:c>
      <x:c r="C2" s="4" t="n">
        <x:v>0.02135192395183</x:v>
      </x:c>
      <x:c r="D2" s="4" t="n">
        <x:v>0.21413762447425</x:v>
      </x:c>
    </x:row>
    <x:row r="3" ht="30" customHeight="1">
      <x:c r="A3" s="3" t="str">
        <x:v>治疗改变AP差</x:v>
      </x:c>
      <x:c r="B3" s="4" t="n">
        <x:v>0.151730733585029</x:v>
      </x:c>
      <x:c r="C3" s="4" t="n">
        <x:v>0.026403873767027</x:v>
      </x:c>
      <x:c r="D3" s="4" t="n">
        <x:v>0.268118813543256</x:v>
      </x:c>
    </x:row>
    <x:row r="4" ht="30" customHeight="1">
      <x:c r="A4" s="3" t="str">
        <x:v>Brier差</x:v>
      </x:c>
      <x:c r="B4" s="4" t="n">
        <x:v>-0.01914699247236</x:v>
      </x:c>
      <x:c r="C4" s="4" t="n">
        <x:v>-0.039776704659399</x:v>
      </x:c>
      <x:c r="D4" s="4" t="n">
        <x:v>0.001527649512581</x:v>
      </x:c>
    </x:row>
    <x:row r="5" ht="30" customHeight="1">
      <x:c r="A5" s="3" t="str">
        <x:v>Log loss差</x:v>
      </x:c>
      <x:c r="B5" s="4" t="n">
        <x:v>-0.036989804094582</x:v>
      </x:c>
      <x:c r="C5" s="4" t="n">
        <x:v>-0.106845778691125</x:v>
      </x:c>
      <x:c r="D5" s="4" t="n">
        <x:v>0.039136663606707</x:v>
      </x:c>
    </x:row>
    <x:row r="8">
      <x:c r="A8" s="14" t="str">
        <x:v>注：差值为Fusion减M1。AUC差是唯一主要比较；其他指标辅助描述。Brier和log loss负差值较好。</x:v>
      </x:c>
    </x:row>
    <x:row r="9">
      <x:c r="A9" s="14" t="str">
        <x:v>注：95%区间为2,000次患者配对bootstrap百分位区间，固定OOF概率，未重拟合模型，不涵盖全部训练和分折变异。</x:v>
      </x:c>
    </x:row>
  </x:sheetData>
  <x:pageMargins left="0.7" right="0.7" top="0.75" bottom="0.75" header="0.3" footer="0.3"/>
  <x:tableParts count="1">
    <x:tablePart xmlns:r="http://schemas.openxmlformats.org/officeDocument/2006/relationships" r:id="R5b20931bdbc84da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0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46" customHeight="1">
      <x:c r="A1" s="12" t="str">
        <x:v>指标</x:v>
      </x:c>
      <x:c r="B1" s="13" t="str">
        <x:v>临床全集</x:v>
      </x:c>
      <x:c r="C1" s="13" t="str">
        <x:v>影像覆盖</x:v>
      </x:c>
      <x:c r="D1" s="13" t="str">
        <x:v>影像未覆盖</x:v>
      </x:c>
    </x:row>
    <x:row r="2" ht="30" customHeight="1">
      <x:c r="A2" s="3" t="str">
        <x:v>扫描记录数</x:v>
      </x:c>
      <x:c r="B2" s="5" t="n">
        <x:v>238</x:v>
      </x:c>
      <x:c r="C2" s="5" t="n">
        <x:v>182</x:v>
      </x:c>
      <x:c r="D2" s="5" t="n">
        <x:v>56</x:v>
      </x:c>
    </x:row>
    <x:row r="3" ht="30" customHeight="1">
      <x:c r="A3" s="3" t="str">
        <x:v>源患者数</x:v>
      </x:c>
      <x:c r="B3" s="5" t="n">
        <x:v>176</x:v>
      </x:c>
      <x:c r="C3" s="5" t="n">
        <x:v>135</x:v>
      </x:c>
      <x:c r="D3" s="5" t="n">
        <x:v>41</x:v>
      </x:c>
    </x:row>
    <x:row r="4" ht="30" customHeight="1">
      <x:c r="A4" s="3" t="str">
        <x:v>年龄，岁</x:v>
      </x:c>
      <x:c r="B4" s="4" t="str">
        <x:v>56.0 [47.0, 64.8]</x:v>
      </x:c>
      <x:c r="C4" s="4" t="str">
        <x:v>56.5 [49.0, 66.0]</x:v>
      </x:c>
      <x:c r="D4" s="4" t="str">
        <x:v>53.5 [45.0, 62.0]</x:v>
      </x:c>
    </x:row>
    <x:row r="5" ht="30" customHeight="1">
      <x:c r="A5" s="3" t="str">
        <x:v>男性</x:v>
      </x:c>
      <x:c r="B5" s="4" t="str">
        <x:v>166/238 (69.7%)</x:v>
      </x:c>
      <x:c r="C5" s="4" t="str">
        <x:v>132/182 (72.5%)</x:v>
      </x:c>
      <x:c r="D5" s="4" t="str">
        <x:v>34/56 (60.7%)</x:v>
      </x:c>
    </x:row>
    <x:row r="6" ht="30" customHeight="1">
      <x:c r="A6" s="3" t="str">
        <x:v>肿瘤扫描</x:v>
      </x:c>
      <x:c r="B6" s="4" t="str">
        <x:v>187/238 (78.6%)</x:v>
      </x:c>
      <x:c r="C6" s="4" t="str">
        <x:v>141/182 (77.5%)</x:v>
      </x:c>
      <x:c r="D6" s="4" t="str">
        <x:v>46/56 (82.1%)</x:v>
      </x:c>
    </x:row>
    <x:row r="7" ht="30" customHeight="1">
      <x:c r="A7" s="3" t="str">
        <x:v>治疗改变扫描</x:v>
      </x:c>
      <x:c r="B7" s="4" t="str">
        <x:v>51/238 (21.4%)</x:v>
      </x:c>
      <x:c r="C7" s="4" t="str">
        <x:v>41/182 (22.5%)</x:v>
      </x:c>
      <x:c r="D7" s="4" t="str">
        <x:v>10/56 (17.9%)</x:v>
      </x:c>
    </x:row>
    <x:row r="8" ht="30" customHeight="1">
      <x:c r="A8" s="3" t="str">
        <x:v>距初始事件天数，已知记录</x:v>
      </x:c>
      <x:c r="B8" s="4" t="str">
        <x:v>153.5 [37.0, 364.2]</x:v>
      </x:c>
      <x:c r="C8" s="4" t="str">
        <x:v>154.0 [40.5, 359.5]</x:v>
      </x:c>
      <x:c r="D8" s="4" t="str">
        <x:v>153.0 [33.5, 439.2]</x:v>
      </x:c>
    </x:row>
    <x:row r="9" ht="30" customHeight="1">
      <x:c r="A9" s="3" t="str">
        <x:v>间隔已知记录</x:v>
      </x:c>
      <x:c r="B9" s="4" t="str">
        <x:v>192/238 (80.7%)</x:v>
      </x:c>
      <x:c r="C9" s="4" t="str">
        <x:v>146/182 (80.2%)</x:v>
      </x:c>
      <x:c r="D9" s="4" t="str">
        <x:v>46/56 (82.1%)</x:v>
      </x:c>
    </x:row>
    <x:row r="10" ht="30" customHeight="1">
      <x:c r="A10" s="3" t="str">
        <x:v>间隔缺失记录</x:v>
      </x:c>
      <x:c r="B10" s="4" t="str">
        <x:v>46/238 (19.3%)</x:v>
      </x:c>
      <x:c r="C10" s="4" t="str">
        <x:v>36/182 (19.8%)</x:v>
      </x:c>
      <x:c r="D10" s="4" t="str">
        <x:v>10/56 (17.9%)</x:v>
      </x:c>
    </x:row>
    <x:row r="11" ht="30" customHeight="1">
      <x:c r="A11" s="3" t="str">
        <x:v>扫描前其他治疗</x:v>
      </x:c>
      <x:c r="B11" s="4" t="str">
        <x:v>38/238 (16.0%)</x:v>
      </x:c>
      <x:c r="C11" s="4" t="str">
        <x:v>25/182 (13.7%)</x:v>
      </x:c>
      <x:c r="D11" s="4" t="str">
        <x:v>13/56 (23.2%)</x:v>
      </x:c>
    </x:row>
    <x:row r="14">
      <x:c r="A14" s="14" t="str">
        <x:v>注：各列按扫描记录描述，源患者数逐列去重。本数据中覆盖135名与未覆盖41名患者无交叉。未进行组间显著性检验。</x:v>
      </x:c>
    </x:row>
  </x:sheetData>
  <x:pageMargins left="0.7" right="0.7" top="0.75" bottom="0.75" header="0.3" footer="0.3"/>
  <x:tableParts count="1">
    <x:tablePart xmlns:r="http://schemas.openxmlformats.org/officeDocument/2006/relationships" r:id="R9e6049d56dc3497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3" hidden="0" customWidth="1"/>
    <x:col min="2" max="2" width="26" hidden="0" customWidth="1"/>
    <x:col min="3" max="3" width="25" hidden="0" customWidth="1"/>
    <x:col min="4" max="4" width="90" hidden="0" customWidth="1"/>
  </x:cols>
  <x:sheetData>
    <x:row r="1" ht="46" customHeight="1">
      <x:c r="A1" s="12" t="str">
        <x:v>变量</x:v>
      </x:c>
      <x:c r="B1" s="12" t="str">
        <x:v>含义</x:v>
      </x:c>
      <x:c r="C1" s="12" t="str">
        <x:v>纳入模型</x:v>
      </x:c>
      <x:c r="D1" s="12" t="str">
        <x:v>处理与单位</x:v>
      </x:c>
    </x:row>
    <x:row r="2" ht="30" customHeight="1">
      <x:c r="A2" s="3" t="str">
        <x:v>age_years</x:v>
      </x:c>
      <x:c r="B2" s="3" t="str">
        <x:v>年龄</x:v>
      </x:c>
      <x:c r="C2" s="3" t="str">
        <x:v>M0 M1 Fusion</x:v>
      </x:c>
      <x:c r="D2" s="3" t="str">
        <x:v>训练折标准化；岁</x:v>
      </x:c>
    </x:row>
    <x:row r="3" ht="30" customHeight="1">
      <x:c r="A3" s="3" t="str">
        <x:v>sex_male</x:v>
      </x:c>
      <x:c r="B3" s="3" t="str">
        <x:v>男性标记</x:v>
      </x:c>
      <x:c r="C3" s="3" t="str">
        <x:v>M0 M1 Fusion</x:v>
      </x:c>
      <x:c r="D3" s="3" t="str">
        <x:v>男性1，女性0；不缩放</x:v>
      </x:c>
    </x:row>
    <x:row r="4" ht="30" customHeight="1">
      <x:c r="A4" s="3" t="str">
        <x:v>log_initial_event_days</x:v>
      </x:c>
      <x:c r="B4" s="3" t="str">
        <x:v>初始事件间隔</x:v>
      </x:c>
      <x:c r="C4" s="3" t="str">
        <x:v>M1 Fusion</x:v>
      </x:c>
      <x:c r="D4" s="3" t="str">
        <x:v>log1p天数；折内中位数填补及标准化</x:v>
      </x:c>
    </x:row>
    <x:row r="5" ht="30" customHeight="1">
      <x:c r="A5" s="3" t="str">
        <x:v>other_treatment_prior</x:v>
      </x:c>
      <x:c r="B5" s="3" t="str">
        <x:v>扫描前其他治疗</x:v>
      </x:c>
      <x:c r="C5" s="3" t="str">
        <x:v>M1 Fusion</x:v>
      </x:c>
      <x:c r="D5" s="3" t="str">
        <x:v>是1，否0；不缩放</x:v>
      </x:c>
    </x:row>
    <x:row r="6" ht="30" customHeight="1">
      <x:c r="A6" s="3" t="str">
        <x:v>initial_event_missing</x:v>
      </x:c>
      <x:c r="B6" s="3" t="str">
        <x:v>间隔缺失标记</x:v>
      </x:c>
      <x:c r="C6" s="3" t="str">
        <x:v>M1 Fusion</x:v>
      </x:c>
      <x:c r="D6" s="3" t="str">
        <x:v>缺失1；不缩放</x:v>
      </x:c>
    </x:row>
    <x:row r="7" ht="30" customHeight="1">
      <x:c r="A7" s="3" t="str">
        <x:v>FLAIR_mean</x:v>
      </x:c>
      <x:c r="B7" s="3" t="str">
        <x:v>FLAIR 均值</x:v>
      </x:c>
      <x:c r="C7" s="3" t="str">
        <x:v>MRI Fusion</x:v>
      </x:c>
      <x:c r="D7" s="3" t="str">
        <x:v>无单位；训练折标准化</x:v>
      </x:c>
    </x:row>
    <x:row r="8" ht="30" customHeight="1">
      <x:c r="A8" s="3" t="str">
        <x:v>FLAIR_std</x:v>
      </x:c>
      <x:c r="B8" s="3" t="str">
        <x:v>FLAIR 标准差</x:v>
      </x:c>
      <x:c r="C8" s="3" t="str">
        <x:v>MRI Fusion</x:v>
      </x:c>
      <x:c r="D8" s="3" t="str">
        <x:v>无单位，ddof=0；训练折标准化</x:v>
      </x:c>
    </x:row>
    <x:row r="9" ht="30" customHeight="1">
      <x:c r="A9" s="3" t="str">
        <x:v>FLAIR_entropy</x:v>
      </x:c>
      <x:c r="B9" s="3" t="str">
        <x:v>FLAIR 熵</x:v>
      </x:c>
      <x:c r="C9" s="3" t="str">
        <x:v>MRI Fusion</x:v>
      </x:c>
      <x:c r="D9" s="3" t="str">
        <x:v>bit，固定32箱；训练折标准化</x:v>
      </x:c>
    </x:row>
    <x:row r="10" ht="30" customHeight="1">
      <x:c r="A10" s="3" t="str">
        <x:v>FLAIR_glcm_contrast</x:v>
      </x:c>
      <x:c r="B10" s="3" t="str">
        <x:v>FLAIR GLCM对比度</x:v>
      </x:c>
      <x:c r="C10" s="3" t="str">
        <x:v>MRI Fusion</x:v>
      </x:c>
      <x:c r="D10" s="3" t="str">
        <x:v>箱索引差平方，13方向对称合并；训练折标准化</x:v>
      </x:c>
    </x:row>
    <x:row r="11" ht="30" customHeight="1">
      <x:c r="A11" s="3" t="str">
        <x:v>T1post_mean</x:v>
      </x:c>
      <x:c r="B11" s="3" t="str">
        <x:v>T1post 均值</x:v>
      </x:c>
      <x:c r="C11" s="3" t="str">
        <x:v>MRI Fusion</x:v>
      </x:c>
      <x:c r="D11" s="3" t="str">
        <x:v>无单位；训练折标准化</x:v>
      </x:c>
    </x:row>
    <x:row r="12" ht="30" customHeight="1">
      <x:c r="A12" s="3" t="str">
        <x:v>T1post_std</x:v>
      </x:c>
      <x:c r="B12" s="3" t="str">
        <x:v>T1post 标准差</x:v>
      </x:c>
      <x:c r="C12" s="3" t="str">
        <x:v>MRI Fusion</x:v>
      </x:c>
      <x:c r="D12" s="3" t="str">
        <x:v>无单位，ddof=0；训练折标准化</x:v>
      </x:c>
    </x:row>
    <x:row r="13" ht="30" customHeight="1">
      <x:c r="A13" s="3" t="str">
        <x:v>T1post_entropy</x:v>
      </x:c>
      <x:c r="B13" s="3" t="str">
        <x:v>T1post 熵</x:v>
      </x:c>
      <x:c r="C13" s="3" t="str">
        <x:v>MRI Fusion</x:v>
      </x:c>
      <x:c r="D13" s="3" t="str">
        <x:v>bit，固定32箱；训练折标准化</x:v>
      </x:c>
    </x:row>
    <x:row r="14" ht="30" customHeight="1">
      <x:c r="A14" s="3" t="str">
        <x:v>T1post_glcm_contrast</x:v>
      </x:c>
      <x:c r="B14" s="3" t="str">
        <x:v>T1post GLCM对比度</x:v>
      </x:c>
      <x:c r="C14" s="3" t="str">
        <x:v>MRI Fusion</x:v>
      </x:c>
      <x:c r="D14" s="3" t="str">
        <x:v>箱索引差平方，13方向对称合并；训练折标准化</x:v>
      </x:c>
    </x:row>
    <x:row r="17">
      <x:c r="A17" s="14" t="str">
        <x:v>注：所有Logistic固定L2、C=1、lbfgs、max_iter=2000、class_weight=None。没有调参、筛特征或优化阈值。</x:v>
      </x:c>
    </x:row>
    <x:row r="18">
      <x:c r="A18" s="14" t="str">
        <x:v>注：MRI先按每图非零正值支持区p1/p99线性缩放，不裁切；源标注全部正标签并集。图像为uint8，空间单位unknown，不计算mL体积、毫米形态或定量ADC。</x:v>
      </x:c>
    </x:row>
    <x:row r="19">
      <x:c r="A19" s="14" t="str">
        <x:v>注：源日期偏移仅负值取相反数为正间隔；源偏移为0、正值或Unknown记缺失。表中使用已冻结的正天数或缺失。</x:v>
      </x:c>
    </x:row>
  </x:sheetData>
  <x:pageMargins left="0.7" right="0.7" top="0.75" bottom="0.75" header="0.3" footer="0.3"/>
  <x:tableParts count="1">
    <x:tablePart xmlns:r="http://schemas.openxmlformats.org/officeDocument/2006/relationships" r:id="R5e62ec9d20194e1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46" customHeight="1">
      <x:c r="A1" s="12" t="str">
        <x:v>模型</x:v>
      </x:c>
      <x:c r="B1" s="19" t="str">
        <x:v>TC_correct</x:v>
      </x:c>
      <x:c r="C1" s="19" t="str">
        <x:v>TC_total</x:v>
      </x:c>
      <x:c r="D1" s="19" t="str">
        <x:v>Tumor_correct</x:v>
      </x:c>
      <x:c r="E1" s="19" t="str">
        <x:v>Tumor_total</x:v>
      </x:c>
      <x:c r="F1" s="24" t="str">
        <x:v>Balanced_accuracy</x:v>
      </x:c>
      <x:c r="G1" s="13" t="str">
        <x:v>Calibration_offset</x:v>
      </x:c>
      <x:c r="H1" s="13" t="str">
        <x:v>Calibration_slope</x:v>
      </x:c>
    </x:row>
    <x:row r="2" ht="30" customHeight="1">
      <x:c r="A2" s="3" t="str">
        <x:v>年龄＋性别</x:v>
      </x:c>
      <x:c r="B2" s="15" t="n">
        <x:v>0</x:v>
      </x:c>
      <x:c r="C2" s="15" t="n">
        <x:v>41</x:v>
      </x:c>
      <x:c r="D2" s="15" t="n">
        <x:v>140</x:v>
      </x:c>
      <x:c r="E2" s="15" t="n">
        <x:v>141</x:v>
      </x:c>
      <x:c r="F2" s="20" t="n">
        <x:v>0.49645390070922</x:v>
      </x:c>
      <x:c r="G2" s="4" t="n">
        <x:v>-0.023240029632794</x:v>
      </x:c>
      <x:c r="H2" s="4" t="n">
        <x:v>0.311473700944274</x:v>
      </x:c>
    </x:row>
    <x:row r="3" ht="30" customHeight="1">
      <x:c r="A3" s="3" t="str">
        <x:v>扩展临床</x:v>
      </x:c>
      <x:c r="B3" s="15" t="n">
        <x:v>2</x:v>
      </x:c>
      <x:c r="C3" s="15" t="n">
        <x:v>41</x:v>
      </x:c>
      <x:c r="D3" s="15" t="n">
        <x:v>134</x:v>
      </x:c>
      <x:c r="E3" s="15" t="n">
        <x:v>141</x:v>
      </x:c>
      <x:c r="F3" s="20" t="n">
        <x:v>0.499567548866978</x:v>
      </x:c>
      <x:c r="G3" s="4" t="n">
        <x:v>-0.023220598625448</x:v>
      </x:c>
      <x:c r="H3" s="4" t="n">
        <x:v>0.761466158815546</x:v>
      </x:c>
    </x:row>
    <x:row r="4" ht="30" customHeight="1">
      <x:c r="A4" s="3" t="str">
        <x:v>MRI八项</x:v>
      </x:c>
      <x:c r="B4" s="15" t="n">
        <x:v>12</x:v>
      </x:c>
      <x:c r="C4" s="15" t="n">
        <x:v>41</x:v>
      </x:c>
      <x:c r="D4" s="15" t="n">
        <x:v>128</x:v>
      </x:c>
      <x:c r="E4" s="15" t="n">
        <x:v>141</x:v>
      </x:c>
      <x:c r="F4" s="20" t="n">
        <x:v>0.600242172634492</x:v>
      </x:c>
      <x:c r="G4" s="4" t="n">
        <x:v>-0.057617481554159</x:v>
      </x:c>
      <x:c r="H4" s="4" t="n">
        <x:v>0.677509625096878</x:v>
      </x:c>
    </x:row>
    <x:row r="5" ht="30" customHeight="1">
      <x:c r="A5" s="3" t="str">
        <x:v>临床＋MRI</x:v>
      </x:c>
      <x:c r="B5" s="15" t="n">
        <x:v>12</x:v>
      </x:c>
      <x:c r="C5" s="15" t="n">
        <x:v>41</x:v>
      </x:c>
      <x:c r="D5" s="15" t="n">
        <x:v>130</x:v>
      </x:c>
      <x:c r="E5" s="15" t="n">
        <x:v>141</x:v>
      </x:c>
      <x:c r="F5" s="20" t="n">
        <x:v>0.607334371216053</x:v>
      </x:c>
      <x:c r="G5" s="4" t="n">
        <x:v>-0.121487240005504</x:v>
      </x:c>
      <x:c r="H5" s="4" t="n">
        <x:v>0.6673277705413</x:v>
      </x:c>
    </x:row>
    <x:row r="8">
      <x:c r="A8" s="14" t="str">
        <x:v>注：固定肿瘤概率≥0.5判肿瘤，&lt;0.5判治疗改变。校准截距采用斜率1的logit概率offset；斜率来自带自由截距的未惩罚回归，仅作描述，不重新校准预测。</x:v>
      </x:c>
    </x:row>
  </x:sheetData>
  <x:pageMargins left="0.7" right="0.7" top="0.75" bottom="0.75" header="0.3" footer="0.3"/>
  <x:tableParts count="1">
    <x:tablePart xmlns:r="http://schemas.openxmlformats.org/officeDocument/2006/relationships" r:id="Rb13d0748e801432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46" customHeight="1">
      <x:c r="A1" s="12" t="str">
        <x:v>模型</x:v>
      </x:c>
      <x:c r="B1" s="13" t="str">
        <x:v>AUC</x:v>
      </x:c>
      <x:c r="C1" s="13" t="str">
        <x:v>CI_lower</x:v>
      </x:c>
      <x:c r="D1" s="13" t="str">
        <x:v>CI_upper</x:v>
      </x:c>
      <x:c r="E1" s="13" t="str">
        <x:v>Brier</x:v>
      </x:c>
      <x:c r="F1" s="13" t="str">
        <x:v>AP_TC</x:v>
      </x:c>
      <x:c r="G1" s="19" t="str">
        <x:v>TC_correct</x:v>
      </x:c>
      <x:c r="H1" s="19" t="str">
        <x:v>TC_total</x:v>
      </x:c>
    </x:row>
    <x:row r="2" ht="30" customHeight="1">
      <x:c r="A2" s="3" t="str">
        <x:v>MRI八项</x:v>
      </x:c>
      <x:c r="B2" s="4" t="n">
        <x:v>0.762497837744335</x:v>
      </x:c>
      <x:c r="C2" s="4" t="n">
        <x:v>0.682772749740076</x:v>
      </x:c>
      <x:c r="D2" s="4" t="n">
        <x:v>0.838467446935596</x:v>
      </x:c>
      <x:c r="E2" s="4" t="n">
        <x:v>0.151391711297674</x:v>
      </x:c>
      <x:c r="F2" s="4" t="n">
        <x:v>0.444433458618343</x:v>
      </x:c>
      <x:c r="G2" s="15" t="n">
        <x:v>12</x:v>
      </x:c>
      <x:c r="H2" s="15" t="n">
        <x:v>41</x:v>
      </x:c>
    </x:row>
    <x:row r="3" ht="30" customHeight="1">
      <x:c r="A3" s="3" t="str">
        <x:v>临床＋MRI</x:v>
      </x:c>
      <x:c r="B3" s="4" t="n">
        <x:v>0.781871648503719</x:v>
      </x:c>
      <x:c r="C3" s="4" t="n">
        <x:v>0.697689796127296</x:v>
      </x:c>
      <x:c r="D3" s="4" t="n">
        <x:v>0.859486535339566</x:v>
      </x:c>
      <x:c r="E3" s="4" t="n">
        <x:v>0.144234395040738</x:v>
      </x:c>
      <x:c r="F3" s="4" t="n">
        <x:v>0.505287750462141</x:v>
      </x:c>
      <x:c r="G3" s="15" t="n">
        <x:v>12</x:v>
      </x:c>
      <x:c r="H3" s="15" t="n">
        <x:v>41</x:v>
      </x:c>
    </x:row>
    <x:row r="4" ht="30" customHeight="1">
      <x:c r="A4" s="3" t="str">
        <x:v>腐蚀MRI</x:v>
      </x:c>
      <x:c r="B4" s="4" t="n">
        <x:v>0.765438505448884</x:v>
      </x:c>
      <x:c r="C4" s="4" t="n">
        <x:v>0.683564118290505</x:v>
      </x:c>
      <x:c r="D4" s="4" t="n">
        <x:v>0.84398544357165</x:v>
      </x:c>
      <x:c r="E4" s="4" t="n">
        <x:v>0.149488201228976</x:v>
      </x:c>
      <x:c r="F4" s="4" t="n">
        <x:v>0.458057721087975</x:v>
      </x:c>
      <x:c r="G4" s="15" t="n">
        <x:v>11</x:v>
      </x:c>
      <x:c r="H4" s="15" t="n">
        <x:v>41</x:v>
      </x:c>
    </x:row>
    <x:row r="5" ht="30" customHeight="1">
      <x:c r="A5" s="3" t="str">
        <x:v>腐蚀融合</x:v>
      </x:c>
      <x:c r="B5" s="4" t="n">
        <x:v>0.788098944819235</x:v>
      </x:c>
      <x:c r="C5" s="4" t="n">
        <x:v>0.705914536975398</x:v>
      </x:c>
      <x:c r="D5" s="4" t="n">
        <x:v>0.867032588686724</x:v>
      </x:c>
      <x:c r="E5" s="4" t="n">
        <x:v>0.141007282108778</x:v>
      </x:c>
      <x:c r="F5" s="4" t="n">
        <x:v>0.529245315734547</x:v>
      </x:c>
      <x:c r="G5" s="15" t="n">
        <x:v>14</x:v>
      </x:c>
      <x:c r="H5" s="15" t="n">
        <x:v>41</x:v>
      </x:c>
    </x:row>
    <x:row r="8">
      <x:c r="A8" s="14" t="str">
        <x:v>注：同病例、同折、同参数，腐蚀版本整体替换8项MRI特征。原ROI仍为主分析，不选择较高版本。</x:v>
      </x:c>
    </x:row>
    <x:row r="9">
      <x:c r="A9" s="14" t="str">
        <x:v>注：腐蚀Fusion减原Fusion的AUC差0.0062，95%区间−0.0051至0.0183。95%区间为2,000次患者配对bootstrap百分位区间，固定OOF概率，未重拟合模型，不涵盖全部训练和分折变异。</x:v>
      </x:c>
    </x:row>
  </x:sheetData>
  <x:pageMargins left="0.7" right="0.7" top="0.75" bottom="0.75" header="0.3" footer="0.3"/>
  <x:tableParts count="1">
    <x:tablePart xmlns:r="http://schemas.openxmlformats.org/officeDocument/2006/relationships" r:id="R329d1e0308c74ca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6" customHeight="1">
      <x:c r="A1" s="12" t="str">
        <x:v>模型</x:v>
      </x:c>
      <x:c r="B1" s="13" t="str">
        <x:v>AUC_median</x:v>
      </x:c>
      <x:c r="C1" s="13" t="str">
        <x:v>AUC_q25</x:v>
      </x:c>
      <x:c r="D1" s="13" t="str">
        <x:v>AUC_q75</x:v>
      </x:c>
      <x:c r="E1" s="13" t="str">
        <x:v>AUC_min</x:v>
      </x:c>
      <x:c r="F1" s="13" t="str">
        <x:v>AUC_max</x:v>
      </x:c>
      <x:c r="G1" s="13" t="str">
        <x:v>Brier_median</x:v>
      </x:c>
    </x:row>
    <x:row r="2" ht="30" customHeight="1">
      <x:c r="A2" s="3" t="str">
        <x:v>年龄＋性别</x:v>
      </x:c>
      <x:c r="B2" s="4" t="n">
        <x:v>0.555959176613043</x:v>
      </x:c>
      <x:c r="C2" s="4" t="n">
        <x:v>0.528476907109497</x:v>
      </x:c>
      <x:c r="D2" s="4" t="n">
        <x:v>0.566943435391801</x:v>
      </x:c>
      <x:c r="E2" s="4" t="n">
        <x:v>0.488929250994638</x:v>
      </x:c>
      <x:c r="F2" s="4" t="n">
        <x:v>0.594187856772185</x:v>
      </x:c>
      <x:c r="G2" s="4" t="n">
        <x:v>0.174436933178653</x:v>
      </x:c>
    </x:row>
    <x:row r="3" ht="30" customHeight="1">
      <x:c r="A3" s="3" t="str">
        <x:v>扩展临床</x:v>
      </x:c>
      <x:c r="B3" s="4" t="n">
        <x:v>0.666753156893271</x:v>
      </x:c>
      <x:c r="C3" s="4" t="n">
        <x:v>0.649628092025601</x:v>
      </x:c>
      <x:c r="D3" s="4" t="n">
        <x:v>0.670212765957447</x:v>
      </x:c>
      <x:c r="E3" s="4" t="n">
        <x:v>0.61987545407369</x:v>
      </x:c>
      <x:c r="F3" s="4" t="n">
        <x:v>0.68543504583982</x:v>
      </x:c>
      <x:c r="G3" s="4" t="n">
        <x:v>0.163359619780126</x:v>
      </x:c>
    </x:row>
    <x:row r="4" ht="30" customHeight="1">
      <x:c r="A4" s="3" t="str">
        <x:v>MRI八项</x:v>
      </x:c>
      <x:c r="B4" s="4" t="n">
        <x:v>0.775038920601972</x:v>
      </x:c>
      <x:c r="C4" s="4" t="n">
        <x:v>0.76811970247362</x:v>
      </x:c>
      <x:c r="D4" s="4" t="n">
        <x:v>0.782693305656461</x:v>
      </x:c>
      <x:c r="E4" s="4" t="n">
        <x:v>0.759211209133368</x:v>
      </x:c>
      <x:c r="F4" s="4" t="n">
        <x:v>0.791558553883411</x:v>
      </x:c>
      <x:c r="G4" s="4" t="n">
        <x:v>0.148243114459938</x:v>
      </x:c>
    </x:row>
    <x:row r="5" ht="30" customHeight="1">
      <x:c r="A5" s="3" t="str">
        <x:v>临床＋MRI</x:v>
      </x:c>
      <x:c r="B5" s="4" t="n">
        <x:v>0.784033904168829</x:v>
      </x:c>
      <x:c r="C5" s="4" t="n">
        <x:v>0.774865940148763</x:v>
      </x:c>
      <x:c r="D5" s="4" t="n">
        <x:v>0.795234388514098</x:v>
      </x:c>
      <x:c r="E5" s="4" t="n">
        <x:v>0.75886524822695</x:v>
      </x:c>
      <x:c r="F5" s="4" t="n">
        <x:v>0.809202560110708</x:v>
      </x:c>
      <x:c r="G5" s="4" t="n">
        <x:v>0.142885449419077</x:v>
      </x:c>
    </x:row>
    <x:row r="8">
      <x:c r="A8" s="14" t="str">
        <x:v>注：20套全部完整，同一批182次扫描反复分折。范围和四分位数不是95%置信区间，重复不是独立研究。主分析融合AUC为0.7819。</x:v>
      </x:c>
    </x:row>
  </x:sheetData>
  <x:pageMargins left="0.7" right="0.7" top="0.75" bottom="0.75" header="0.3" footer="0.3"/>
  <x:tableParts count="1">
    <x:tablePart xmlns:r="http://schemas.openxmlformats.org/officeDocument/2006/relationships" r:id="R1fa0fce71e0a444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46" customHeight="1">
      <x:c r="A1" s="12" t="str">
        <x:v>指标</x:v>
      </x:c>
      <x:c r="B1" s="13" t="str">
        <x:v>Median</x:v>
      </x:c>
      <x:c r="C1" s="13" t="str">
        <x:v>Q25</x:v>
      </x:c>
      <x:c r="D1" s="13" t="str">
        <x:v>Q75</x:v>
      </x:c>
      <x:c r="E1" s="13" t="str">
        <x:v>Minimum</x:v>
      </x:c>
      <x:c r="F1" s="13" t="str">
        <x:v>Maximum</x:v>
      </x:c>
      <x:c r="G1" s="19" t="str">
        <x:v>Favourable_repeats</x:v>
      </x:c>
      <x:c r="H1" s="19" t="str">
        <x:v>Total_repeats</x:v>
      </x:c>
    </x:row>
    <x:row r="2" ht="30" customHeight="1">
      <x:c r="A2" s="3" t="str">
        <x:v>AUC差</x:v>
      </x:c>
      <x:c r="B2" s="4" t="n">
        <x:v>0.12480539699014</x:v>
      </x:c>
      <x:c r="C2" s="4" t="n">
        <x:v>0.117886178861789</x:v>
      </x:c>
      <x:c r="D2" s="4" t="n">
        <x:v>0.134795018162948</x:v>
      </x:c>
      <x:c r="E2" s="4" t="n">
        <x:v>0.102836879432624</x:v>
      </x:c>
      <x:c r="F2" s="4" t="n">
        <x:v>0.150406504065041</x:v>
      </x:c>
      <x:c r="G2" s="15" t="n">
        <x:v>20</x:v>
      </x:c>
      <x:c r="H2" s="15" t="n">
        <x:v>20</x:v>
      </x:c>
    </x:row>
    <x:row r="3" ht="30" customHeight="1">
      <x:c r="A3" s="3" t="str">
        <x:v>治疗改变AP差</x:v>
      </x:c>
      <x:c r="B3" s="4" t="n">
        <x:v>0.125212898010032</x:v>
      </x:c>
      <x:c r="C3" s="4" t="n">
        <x:v>0.107656114408047</x:v>
      </x:c>
      <x:c r="D3" s="4" t="n">
        <x:v>0.139364118561955</x:v>
      </x:c>
      <x:c r="E3" s="4" t="n">
        <x:v>0.068353464196698</x:v>
      </x:c>
      <x:c r="F3" s="4" t="n">
        <x:v>0.176070575356575</x:v>
      </x:c>
      <x:c r="G3" s="15" t="n">
        <x:v>20</x:v>
      </x:c>
      <x:c r="H3" s="15" t="n">
        <x:v>20</x:v>
      </x:c>
    </x:row>
    <x:row r="4" ht="30" customHeight="1">
      <x:c r="A4" s="3" t="str">
        <x:v>Brier差</x:v>
      </x:c>
      <x:c r="B4" s="4" t="n">
        <x:v>-0.019096504960279</x:v>
      </x:c>
      <x:c r="C4" s="4" t="n">
        <x:v>-0.022719168384313</x:v>
      </x:c>
      <x:c r="D4" s="4" t="n">
        <x:v>-0.01761698678779</x:v>
      </x:c>
      <x:c r="E4" s="4" t="n">
        <x:v>-0.026674901391777</x:v>
      </x:c>
      <x:c r="F4" s="4" t="n">
        <x:v>-0.013777015962466</x:v>
      </x:c>
      <x:c r="G4" s="15" t="n">
        <x:v>20</x:v>
      </x:c>
      <x:c r="H4" s="15" t="n">
        <x:v>20</x:v>
      </x:c>
    </x:row>
    <x:row r="5" ht="30" customHeight="1">
      <x:c r="A5" s="3" t="str">
        <x:v>Log loss差</x:v>
      </x:c>
      <x:c r="B5" s="4" t="n">
        <x:v>-0.046701590639044</x:v>
      </x:c>
      <x:c r="C5" s="4" t="n">
        <x:v>-0.058244269531232</x:v>
      </x:c>
      <x:c r="D5" s="4" t="n">
        <x:v>-0.037748362888875</x:v>
      </x:c>
      <x:c r="E5" s="4" t="n">
        <x:v>-0.071297451070541</x:v>
      </x:c>
      <x:c r="F5" s="4" t="n">
        <x:v>-0.021600729246147</x:v>
      </x:c>
      <x:c r="G5" s="15" t="n">
        <x:v>20</x:v>
      </x:c>
      <x:c r="H5" s="15" t="n">
        <x:v>20</x:v>
      </x:c>
    </x:row>
    <x:row r="8">
      <x:c r="A8" s="14" t="str">
        <x:v>注：有利方向：AUC及AP为正，Brier及log loss为负。20/20只描述点估计方向，不构成独立重复的显著性检验。</x:v>
      </x:c>
    </x:row>
  </x:sheetData>
  <x:pageMargins left="0.7" right="0.7" top="0.75" bottom="0.75" header="0.3" footer="0.3"/>
  <x:tableParts count="1">
    <x:tablePart xmlns:r="http://schemas.openxmlformats.org/officeDocument/2006/relationships" r:id="Rfacadb1f338844f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46" customHeight="1">
      <x:c r="A1" s="12" t="str">
        <x:v>模型</x:v>
      </x:c>
      <x:c r="B1" s="13" t="str">
        <x:v>AUC</x:v>
      </x:c>
      <x:c r="C1" s="13" t="str">
        <x:v>CI_lower</x:v>
      </x:c>
      <x:c r="D1" s="13" t="str">
        <x:v>CI_upper</x:v>
      </x:c>
      <x:c r="E1" s="13" t="str">
        <x:v>Brier</x:v>
      </x:c>
      <x:c r="F1" s="13" t="str">
        <x:v>AP_TC</x:v>
      </x:c>
      <x:c r="G1" s="19" t="str">
        <x:v>TC_correct</x:v>
      </x:c>
      <x:c r="H1" s="19" t="str">
        <x:v>TC_total</x:v>
      </x:c>
    </x:row>
    <x:row r="2" ht="30" customHeight="1">
      <x:c r="A2" s="3" t="str">
        <x:v>年龄＋性别</x:v>
      </x:c>
      <x:c r="B2" s="4" t="n">
        <x:v>0.501206757843926</x:v>
      </x:c>
      <x:c r="C2" s="4" t="n">
        <x:v>0.364344960266715</x:v>
      </x:c>
      <x:c r="D2" s="4" t="n">
        <x:v>0.638603724927701</x:v>
      </x:c>
      <x:c r="E2" s="4" t="n">
        <x:v>0.137243921137016</x:v>
      </x:c>
      <x:c r="F2" s="4" t="n">
        <x:v>0.205048793847296</x:v>
      </x:c>
      <x:c r="G2" s="15" t="n">
        <x:v>0</x:v>
      </x:c>
      <x:c r="H2" s="15" t="n">
        <x:v>22</x:v>
      </x:c>
    </x:row>
    <x:row r="3" ht="30" customHeight="1">
      <x:c r="A3" s="3" t="str">
        <x:v>扩展临床</x:v>
      </x:c>
      <x:c r="B3" s="4" t="n">
        <x:v>0.609412711182623</x:v>
      </x:c>
      <x:c r="C3" s="4" t="n">
        <x:v>0.437825354060861</x:v>
      </x:c>
      <x:c r="D3" s="4" t="n">
        <x:v>0.776373290426388</x:v>
      </x:c>
      <x:c r="E3" s="4" t="n">
        <x:v>0.132356949751306</x:v>
      </x:c>
      <x:c r="F3" s="4" t="n">
        <x:v>0.283417795490311</x:v>
      </x:c>
      <x:c r="G3" s="15" t="n">
        <x:v>0</x:v>
      </x:c>
      <x:c r="H3" s="15" t="n">
        <x:v>22</x:v>
      </x:c>
    </x:row>
    <x:row r="4" ht="30" customHeight="1">
      <x:c r="A4" s="3" t="str">
        <x:v>MRI八项</x:v>
      </x:c>
      <x:c r="B4" s="4" t="n">
        <x:v>0.729283990345937</x:v>
      </x:c>
      <x:c r="C4" s="4" t="n">
        <x:v>0.608582813741671</x:v>
      </x:c>
      <x:c r="D4" s="4" t="n">
        <x:v>0.83662750077095</x:v>
      </x:c>
      <x:c r="E4" s="4" t="n">
        <x:v>0.129925294798236</x:v>
      </x:c>
      <x:c r="F4" s="4" t="n">
        <x:v>0.316191179435694</x:v>
      </x:c>
      <x:c r="G4" s="15" t="n">
        <x:v>2</x:v>
      </x:c>
      <x:c r="H4" s="15" t="n">
        <x:v>22</x:v>
      </x:c>
    </x:row>
    <x:row r="5" ht="30" customHeight="1">
      <x:c r="A5" s="3" t="str">
        <x:v>临床＋MRI</x:v>
      </x:c>
      <x:c r="B5" s="4" t="n">
        <x:v>0.729686242960579</x:v>
      </x:c>
      <x:c r="C5" s="4" t="n">
        <x:v>0.606046368553615</x:v>
      </x:c>
      <x:c r="D5" s="4" t="n">
        <x:v>0.832589480506147</x:v>
      </x:c>
      <x:c r="E5" s="4" t="n">
        <x:v>0.132796250134703</x:v>
      </x:c>
      <x:c r="F5" s="4" t="n">
        <x:v>0.321887629432404</x:v>
      </x:c>
      <x:c r="G5" s="15" t="n">
        <x:v>2</x:v>
      </x:c>
      <x:c r="H5" s="15" t="n">
        <x:v>22</x:v>
      </x:c>
    </x:row>
    <x:row r="8">
      <x:c r="A8" s="14" t="str">
        <x:v>注：135条扫描，113次肿瘤、22次治疗改变。选择当前影像中最小数字会话编号，不称首次就诊。与182条主分析人群不同，不直接比较跨人群增量。</x:v>
      </x:c>
    </x:row>
    <x:row r="9">
      <x:c r="A9" s="14" t="str">
        <x:v>注：95%区间为2,000次患者配对bootstrap百分位区间，固定OOF概率，未重拟合模型，不涵盖全部训练和分折变异。</x:v>
      </x:c>
    </x:row>
  </x:sheetData>
  <x:pageMargins left="0.7" right="0.7" top="0.75" bottom="0.75" header="0.3" footer="0.3"/>
  <x:tableParts count="1">
    <x:tablePart xmlns:r="http://schemas.openxmlformats.org/officeDocument/2006/relationships" r:id="Rf6e43c89eb87439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0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46" customHeight="1">
      <x:c r="A1" s="12" t="str">
        <x:v>指标</x:v>
      </x:c>
      <x:c r="B1" s="13" t="str">
        <x:v>差值</x:v>
      </x:c>
      <x:c r="C1" s="13" t="str">
        <x:v>CI_lower</x:v>
      </x:c>
      <x:c r="D1" s="13" t="str">
        <x:v>CI_upper</x:v>
      </x:c>
    </x:row>
    <x:row r="2" ht="30" customHeight="1">
      <x:c r="A2" s="3" t="str">
        <x:v>AUC差</x:v>
      </x:c>
      <x:c r="B2" s="4" t="n">
        <x:v>0.120273531777957</x:v>
      </x:c>
      <x:c r="C2" s="4" t="n">
        <x:v>-0.01514229711842</x:v>
      </x:c>
      <x:c r="D2" s="4" t="n">
        <x:v>0.252217800247579</x:v>
      </x:c>
    </x:row>
    <x:row r="3" ht="30" customHeight="1">
      <x:c r="A3" s="3" t="str">
        <x:v>治疗改变AP差</x:v>
      </x:c>
      <x:c r="B3" s="4" t="n">
        <x:v>0.038469833942094</x:v>
      </x:c>
      <x:c r="C3" s="4" t="n">
        <x:v>-0.073287687288472</x:v>
      </x:c>
      <x:c r="D3" s="4" t="n">
        <x:v>0.156613465918351</x:v>
      </x:c>
    </x:row>
    <x:row r="4" ht="30" customHeight="1">
      <x:c r="A4" s="3" t="str">
        <x:v>Brier差</x:v>
      </x:c>
      <x:c r="B4" s="4" t="n">
        <x:v>0.000439300383397</x:v>
      </x:c>
      <x:c r="C4" s="4" t="n">
        <x:v>-0.017109561505263</x:v>
      </x:c>
      <x:c r="D4" s="4" t="n">
        <x:v>0.01971774351319</x:v>
      </x:c>
    </x:row>
    <x:row r="5" ht="30" customHeight="1">
      <x:c r="A5" s="3" t="str">
        <x:v>Log loss差</x:v>
      </x:c>
      <x:c r="B5" s="4" t="n">
        <x:v>-0.014076113497805</x:v>
      </x:c>
      <x:c r="C5" s="4" t="n">
        <x:v>-0.073128415982036</x:v>
      </x:c>
      <x:c r="D5" s="4" t="n">
        <x:v>0.050141921287075</x:v>
      </x:c>
    </x:row>
    <x:row r="8">
      <x:c r="A8" s="14" t="str">
        <x:v>注：135条相同病例及折内模型配对。AUC、AP和Brier差的区间均跨零。</x:v>
      </x:c>
    </x:row>
    <x:row r="9">
      <x:c r="A9" s="14" t="str">
        <x:v>注：95%区间为2,000次患者配对bootstrap百分位区间，固定OOF概率，未重拟合模型，不涵盖全部训练和分折变异。</x:v>
      </x:c>
    </x:row>
  </x:sheetData>
  <x:pageMargins left="0.7" right="0.7" top="0.75" bottom="0.75" header="0.3" footer="0.3"/>
  <x:tableParts count="1">
    <x:tablePart xmlns:r="http://schemas.openxmlformats.org/officeDocument/2006/relationships" r:id="Rd8641fd10d1b4ac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0" hidden="0" customWidth="1"/>
    <x:col min="2" max="2" width="32" hidden="0" customWidth="1"/>
    <x:col min="3" max="3" width="32" hidden="0" customWidth="1"/>
    <x:col min="4" max="4" width="32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46" customHeight="1">
      <x:c r="A1" s="12" t="str">
        <x:v>table_id</x:v>
      </x:c>
      <x:c r="B1" s="12" t="str">
        <x:v>cohort</x:v>
      </x:c>
      <x:c r="C1" s="12" t="str">
        <x:v>variable</x:v>
      </x:c>
      <x:c r="D1" s="12" t="str">
        <x:v>statistic</x:v>
      </x:c>
      <x:c r="E1" s="19" t="str">
        <x:v>scan_denominator</x:v>
      </x:c>
      <x:c r="F1" s="19" t="str">
        <x:v>patient_count</x:v>
      </x:c>
      <x:c r="G1" s="19" t="str">
        <x:v>observed_n</x:v>
      </x:c>
      <x:c r="H1" s="19" t="str">
        <x:v>count</x:v>
      </x:c>
      <x:c r="I1" s="13" t="str">
        <x:v>percent</x:v>
      </x:c>
      <x:c r="J1" s="13" t="str">
        <x:v>median</x:v>
      </x:c>
      <x:c r="K1" s="13" t="str">
        <x:v>q25</x:v>
      </x:c>
      <x:c r="L1" s="13" t="str">
        <x:v>q75</x:v>
      </x:c>
    </x:row>
    <x:row r="2" ht="30" customHeight="1">
      <x:c r="A2" s="3" t="str">
        <x:v>Table1</x:v>
      </x:c>
      <x:c r="B2" s="3" t="str">
        <x:v>全部影像扫描</x:v>
      </x:c>
      <x:c r="C2" s="3" t="str">
        <x:v>scans</x:v>
      </x:c>
      <x:c r="D2" s="3" t="str">
        <x:v>n</x:v>
      </x:c>
      <x:c r="E2" s="15" t="n">
        <x:v>182</x:v>
      </x:c>
      <x:c r="F2" s="15" t="n">
        <x:v>135</x:v>
      </x:c>
      <x:c r="G2" s="15"/>
      <x:c r="H2" s="15" t="n">
        <x:v>182</x:v>
      </x:c>
      <x:c r="I2" s="4"/>
      <x:c r="J2" s="4"/>
      <x:c r="K2" s="4"/>
      <x:c r="L2" s="4"/>
    </x:row>
    <x:row r="3" ht="30" customHeight="1">
      <x:c r="A3" s="3" t="str">
        <x:v>Table1</x:v>
      </x:c>
      <x:c r="B3" s="3" t="str">
        <x:v>肿瘤扫描</x:v>
      </x:c>
      <x:c r="C3" s="3" t="str">
        <x:v>scans</x:v>
      </x:c>
      <x:c r="D3" s="3" t="str">
        <x:v>n</x:v>
      </x:c>
      <x:c r="E3" s="15" t="n">
        <x:v>141</x:v>
      </x:c>
      <x:c r="F3" s="15" t="n">
        <x:v>114</x:v>
      </x:c>
      <x:c r="G3" s="15"/>
      <x:c r="H3" s="15" t="n">
        <x:v>141</x:v>
      </x:c>
      <x:c r="I3" s="4"/>
      <x:c r="J3" s="4"/>
      <x:c r="K3" s="4"/>
      <x:c r="L3" s="4"/>
    </x:row>
    <x:row r="4" ht="30" customHeight="1">
      <x:c r="A4" s="3" t="str">
        <x:v>Table1</x:v>
      </x:c>
      <x:c r="B4" s="3" t="str">
        <x:v>治疗改变扫描</x:v>
      </x:c>
      <x:c r="C4" s="3" t="str">
        <x:v>scans</x:v>
      </x:c>
      <x:c r="D4" s="3" t="str">
        <x:v>n</x:v>
      </x:c>
      <x:c r="E4" s="15" t="n">
        <x:v>41</x:v>
      </x:c>
      <x:c r="F4" s="15" t="n">
        <x:v>29</x:v>
      </x:c>
      <x:c r="G4" s="15"/>
      <x:c r="H4" s="15" t="n">
        <x:v>41</x:v>
      </x:c>
      <x:c r="I4" s="4"/>
      <x:c r="J4" s="4"/>
      <x:c r="K4" s="4"/>
      <x:c r="L4" s="4"/>
    </x:row>
    <x:row r="5" ht="30" customHeight="1">
      <x:c r="A5" s="3" t="str">
        <x:v>Table1</x:v>
      </x:c>
      <x:c r="B5" s="3" t="str">
        <x:v>全部影像扫描</x:v>
      </x:c>
      <x:c r="C5" s="3" t="str">
        <x:v>patients</x:v>
      </x:c>
      <x:c r="D5" s="3" t="str">
        <x:v>patients</x:v>
      </x:c>
      <x:c r="E5" s="15" t="n">
        <x:v>182</x:v>
      </x:c>
      <x:c r="F5" s="15" t="n">
        <x:v>135</x:v>
      </x:c>
      <x:c r="G5" s="15"/>
      <x:c r="H5" s="15" t="n">
        <x:v>135</x:v>
      </x:c>
      <x:c r="I5" s="4"/>
      <x:c r="J5" s="4"/>
      <x:c r="K5" s="4"/>
      <x:c r="L5" s="4"/>
    </x:row>
    <x:row r="6" ht="30" customHeight="1">
      <x:c r="A6" s="3" t="str">
        <x:v>Table1</x:v>
      </x:c>
      <x:c r="B6" s="3" t="str">
        <x:v>肿瘤扫描</x:v>
      </x:c>
      <x:c r="C6" s="3" t="str">
        <x:v>patients</x:v>
      </x:c>
      <x:c r="D6" s="3" t="str">
        <x:v>patients</x:v>
      </x:c>
      <x:c r="E6" s="15" t="n">
        <x:v>141</x:v>
      </x:c>
      <x:c r="F6" s="15" t="n">
        <x:v>114</x:v>
      </x:c>
      <x:c r="G6" s="15"/>
      <x:c r="H6" s="15" t="n">
        <x:v>114</x:v>
      </x:c>
      <x:c r="I6" s="4"/>
      <x:c r="J6" s="4"/>
      <x:c r="K6" s="4"/>
      <x:c r="L6" s="4"/>
    </x:row>
    <x:row r="7" ht="30" customHeight="1">
      <x:c r="A7" s="3" t="str">
        <x:v>Table1</x:v>
      </x:c>
      <x:c r="B7" s="3" t="str">
        <x:v>治疗改变扫描</x:v>
      </x:c>
      <x:c r="C7" s="3" t="str">
        <x:v>patients</x:v>
      </x:c>
      <x:c r="D7" s="3" t="str">
        <x:v>patients</x:v>
      </x:c>
      <x:c r="E7" s="15" t="n">
        <x:v>41</x:v>
      </x:c>
      <x:c r="F7" s="15" t="n">
        <x:v>29</x:v>
      </x:c>
      <x:c r="G7" s="15"/>
      <x:c r="H7" s="15" t="n">
        <x:v>29</x:v>
      </x:c>
      <x:c r="I7" s="4"/>
      <x:c r="J7" s="4"/>
      <x:c r="K7" s="4"/>
      <x:c r="L7" s="4"/>
    </x:row>
    <x:row r="8" ht="30" customHeight="1">
      <x:c r="A8" s="3" t="str">
        <x:v>Table1</x:v>
      </x:c>
      <x:c r="B8" s="3" t="str">
        <x:v>全部影像扫描</x:v>
      </x:c>
      <x:c r="C8" s="3" t="str">
        <x:v>age_years</x:v>
      </x:c>
      <x:c r="D8" s="3" t="str">
        <x:v>continuous</x:v>
      </x:c>
      <x:c r="E8" s="15" t="n">
        <x:v>182</x:v>
      </x:c>
      <x:c r="F8" s="15" t="n">
        <x:v>135</x:v>
      </x:c>
      <x:c r="G8" s="15" t="n">
        <x:v>182</x:v>
      </x:c>
      <x:c r="H8" s="15"/>
      <x:c r="I8" s="4"/>
      <x:c r="J8" s="4" t="n">
        <x:v>56.5</x:v>
      </x:c>
      <x:c r="K8" s="4" t="n">
        <x:v>49</x:v>
      </x:c>
      <x:c r="L8" s="4" t="n">
        <x:v>66</x:v>
      </x:c>
    </x:row>
    <x:row r="9" ht="30" customHeight="1">
      <x:c r="A9" s="3" t="str">
        <x:v>Table1</x:v>
      </x:c>
      <x:c r="B9" s="3" t="str">
        <x:v>肿瘤扫描</x:v>
      </x:c>
      <x:c r="C9" s="3" t="str">
        <x:v>age_years</x:v>
      </x:c>
      <x:c r="D9" s="3" t="str">
        <x:v>continuous</x:v>
      </x:c>
      <x:c r="E9" s="15" t="n">
        <x:v>141</x:v>
      </x:c>
      <x:c r="F9" s="15" t="n">
        <x:v>114</x:v>
      </x:c>
      <x:c r="G9" s="15" t="n">
        <x:v>141</x:v>
      </x:c>
      <x:c r="H9" s="15"/>
      <x:c r="I9" s="4"/>
      <x:c r="J9" s="4" t="n">
        <x:v>58</x:v>
      </x:c>
      <x:c r="K9" s="4" t="n">
        <x:v>50</x:v>
      </x:c>
      <x:c r="L9" s="4" t="n">
        <x:v>67</x:v>
      </x:c>
    </x:row>
    <x:row r="10" ht="30" customHeight="1">
      <x:c r="A10" s="3" t="str">
        <x:v>Table1</x:v>
      </x:c>
      <x:c r="B10" s="3" t="str">
        <x:v>治疗改变扫描</x:v>
      </x:c>
      <x:c r="C10" s="3" t="str">
        <x:v>age_years</x:v>
      </x:c>
      <x:c r="D10" s="3" t="str">
        <x:v>continuous</x:v>
      </x:c>
      <x:c r="E10" s="15" t="n">
        <x:v>41</x:v>
      </x:c>
      <x:c r="F10" s="15" t="n">
        <x:v>29</x:v>
      </x:c>
      <x:c r="G10" s="15" t="n">
        <x:v>41</x:v>
      </x:c>
      <x:c r="H10" s="15"/>
      <x:c r="I10" s="4"/>
      <x:c r="J10" s="4" t="n">
        <x:v>54</x:v>
      </x:c>
      <x:c r="K10" s="4" t="n">
        <x:v>48</x:v>
      </x:c>
      <x:c r="L10" s="4" t="n">
        <x:v>62</x:v>
      </x:c>
    </x:row>
    <x:row r="11" ht="30" customHeight="1">
      <x:c r="A11" s="3" t="str">
        <x:v>Table1</x:v>
      </x:c>
      <x:c r="B11" s="3" t="str">
        <x:v>全部影像扫描</x:v>
      </x:c>
      <x:c r="C11" s="3" t="str">
        <x:v>sex_male</x:v>
      </x:c>
      <x:c r="D11" s="3" t="str">
        <x:v>binary</x:v>
      </x:c>
      <x:c r="E11" s="15" t="n">
        <x:v>182</x:v>
      </x:c>
      <x:c r="F11" s="15" t="n">
        <x:v>135</x:v>
      </x:c>
      <x:c r="G11" s="15" t="n">
        <x:v>182</x:v>
      </x:c>
      <x:c r="H11" s="15" t="n">
        <x:v>132</x:v>
      </x:c>
      <x:c r="I11" s="4" t="n">
        <x:v>72.52747252747253</x:v>
      </x:c>
      <x:c r="J11" s="4"/>
      <x:c r="K11" s="4"/>
      <x:c r="L11" s="4"/>
    </x:row>
    <x:row r="12" ht="30" customHeight="1">
      <x:c r="A12" s="3" t="str">
        <x:v>Table1</x:v>
      </x:c>
      <x:c r="B12" s="3" t="str">
        <x:v>肿瘤扫描</x:v>
      </x:c>
      <x:c r="C12" s="3" t="str">
        <x:v>sex_male</x:v>
      </x:c>
      <x:c r="D12" s="3" t="str">
        <x:v>binary</x:v>
      </x:c>
      <x:c r="E12" s="15" t="n">
        <x:v>141</x:v>
      </x:c>
      <x:c r="F12" s="15" t="n">
        <x:v>114</x:v>
      </x:c>
      <x:c r="G12" s="15" t="n">
        <x:v>141</x:v>
      </x:c>
      <x:c r="H12" s="15" t="n">
        <x:v>105</x:v>
      </x:c>
      <x:c r="I12" s="4" t="n">
        <x:v>74.46808510638297</x:v>
      </x:c>
      <x:c r="J12" s="4"/>
      <x:c r="K12" s="4"/>
      <x:c r="L12" s="4"/>
    </x:row>
    <x:row r="13" ht="30" customHeight="1">
      <x:c r="A13" s="3" t="str">
        <x:v>Table1</x:v>
      </x:c>
      <x:c r="B13" s="3" t="str">
        <x:v>治疗改变扫描</x:v>
      </x:c>
      <x:c r="C13" s="3" t="str">
        <x:v>sex_male</x:v>
      </x:c>
      <x:c r="D13" s="3" t="str">
        <x:v>binary</x:v>
      </x:c>
      <x:c r="E13" s="15" t="n">
        <x:v>41</x:v>
      </x:c>
      <x:c r="F13" s="15" t="n">
        <x:v>29</x:v>
      </x:c>
      <x:c r="G13" s="15" t="n">
        <x:v>41</x:v>
      </x:c>
      <x:c r="H13" s="15" t="n">
        <x:v>27</x:v>
      </x:c>
      <x:c r="I13" s="4" t="n">
        <x:v>65.85365853658537</x:v>
      </x:c>
      <x:c r="J13" s="4"/>
      <x:c r="K13" s="4"/>
      <x:c r="L13" s="4"/>
    </x:row>
    <x:row r="14" ht="30" customHeight="1">
      <x:c r="A14" s="3" t="str">
        <x:v>Table1</x:v>
      </x:c>
      <x:c r="B14" s="3" t="str">
        <x:v>全部影像扫描</x:v>
      </x:c>
      <x:c r="C14" s="3" t="str">
        <x:v>tumor_label</x:v>
      </x:c>
      <x:c r="D14" s="3" t="str">
        <x:v>binary</x:v>
      </x:c>
      <x:c r="E14" s="15" t="n">
        <x:v>182</x:v>
      </x:c>
      <x:c r="F14" s="15" t="n">
        <x:v>135</x:v>
      </x:c>
      <x:c r="G14" s="15" t="n">
        <x:v>182</x:v>
      </x:c>
      <x:c r="H14" s="15" t="n">
        <x:v>141</x:v>
      </x:c>
      <x:c r="I14" s="4" t="n">
        <x:v>77.47252747252747</x:v>
      </x:c>
      <x:c r="J14" s="4"/>
      <x:c r="K14" s="4"/>
      <x:c r="L14" s="4"/>
    </x:row>
    <x:row r="15" ht="30" customHeight="1">
      <x:c r="A15" s="3" t="str">
        <x:v>Table1</x:v>
      </x:c>
      <x:c r="B15" s="3" t="str">
        <x:v>肿瘤扫描</x:v>
      </x:c>
      <x:c r="C15" s="3" t="str">
        <x:v>tumor_label</x:v>
      </x:c>
      <x:c r="D15" s="3" t="str">
        <x:v>binary</x:v>
      </x:c>
      <x:c r="E15" s="15" t="n">
        <x:v>141</x:v>
      </x:c>
      <x:c r="F15" s="15" t="n">
        <x:v>114</x:v>
      </x:c>
      <x:c r="G15" s="15" t="n">
        <x:v>141</x:v>
      </x:c>
      <x:c r="H15" s="15" t="n">
        <x:v>141</x:v>
      </x:c>
      <x:c r="I15" s="4" t="n">
        <x:v>100</x:v>
      </x:c>
      <x:c r="J15" s="4"/>
      <x:c r="K15" s="4"/>
      <x:c r="L15" s="4"/>
    </x:row>
    <x:row r="16" ht="30" customHeight="1">
      <x:c r="A16" s="3" t="str">
        <x:v>Table1</x:v>
      </x:c>
      <x:c r="B16" s="3" t="str">
        <x:v>治疗改变扫描</x:v>
      </x:c>
      <x:c r="C16" s="3" t="str">
        <x:v>tumor_label</x:v>
      </x:c>
      <x:c r="D16" s="3" t="str">
        <x:v>binary</x:v>
      </x:c>
      <x:c r="E16" s="15" t="n">
        <x:v>41</x:v>
      </x:c>
      <x:c r="F16" s="15" t="n">
        <x:v>29</x:v>
      </x:c>
      <x:c r="G16" s="15" t="n">
        <x:v>41</x:v>
      </x:c>
      <x:c r="H16" s="15" t="n">
        <x:v>0</x:v>
      </x:c>
      <x:c r="I16" s="4" t="n">
        <x:v>0</x:v>
      </x:c>
      <x:c r="J16" s="4"/>
      <x:c r="K16" s="4"/>
      <x:c r="L16" s="4"/>
    </x:row>
    <x:row r="17" ht="30" customHeight="1">
      <x:c r="A17" s="3" t="str">
        <x:v>Table1</x:v>
      </x:c>
      <x:c r="B17" s="3" t="str">
        <x:v>全部影像扫描</x:v>
      </x:c>
      <x:c r="C17" s="3" t="str">
        <x:v>treatment_change</x:v>
      </x:c>
      <x:c r="D17" s="3" t="str">
        <x:v>binary</x:v>
      </x:c>
      <x:c r="E17" s="15" t="n">
        <x:v>182</x:v>
      </x:c>
      <x:c r="F17" s="15" t="n">
        <x:v>135</x:v>
      </x:c>
      <x:c r="G17" s="15" t="n">
        <x:v>182</x:v>
      </x:c>
      <x:c r="H17" s="15" t="n">
        <x:v>41</x:v>
      </x:c>
      <x:c r="I17" s="4" t="n">
        <x:v>22.52747252747253</x:v>
      </x:c>
      <x:c r="J17" s="4"/>
      <x:c r="K17" s="4"/>
      <x:c r="L17" s="4"/>
    </x:row>
    <x:row r="18" ht="30" customHeight="1">
      <x:c r="A18" s="3" t="str">
        <x:v>Table1</x:v>
      </x:c>
      <x:c r="B18" s="3" t="str">
        <x:v>肿瘤扫描</x:v>
      </x:c>
      <x:c r="C18" s="3" t="str">
        <x:v>treatment_change</x:v>
      </x:c>
      <x:c r="D18" s="3" t="str">
        <x:v>binary</x:v>
      </x:c>
      <x:c r="E18" s="15" t="n">
        <x:v>141</x:v>
      </x:c>
      <x:c r="F18" s="15" t="n">
        <x:v>114</x:v>
      </x:c>
      <x:c r="G18" s="15" t="n">
        <x:v>141</x:v>
      </x:c>
      <x:c r="H18" s="15" t="n">
        <x:v>0</x:v>
      </x:c>
      <x:c r="I18" s="4" t="n">
        <x:v>0</x:v>
      </x:c>
      <x:c r="J18" s="4"/>
      <x:c r="K18" s="4"/>
      <x:c r="L18" s="4"/>
    </x:row>
    <x:row r="19" ht="30" customHeight="1">
      <x:c r="A19" s="3" t="str">
        <x:v>Table1</x:v>
      </x:c>
      <x:c r="B19" s="3" t="str">
        <x:v>治疗改变扫描</x:v>
      </x:c>
      <x:c r="C19" s="3" t="str">
        <x:v>treatment_change</x:v>
      </x:c>
      <x:c r="D19" s="3" t="str">
        <x:v>binary</x:v>
      </x:c>
      <x:c r="E19" s="15" t="n">
        <x:v>41</x:v>
      </x:c>
      <x:c r="F19" s="15" t="n">
        <x:v>29</x:v>
      </x:c>
      <x:c r="G19" s="15" t="n">
        <x:v>41</x:v>
      </x:c>
      <x:c r="H19" s="15" t="n">
        <x:v>41</x:v>
      </x:c>
      <x:c r="I19" s="4" t="n">
        <x:v>100</x:v>
      </x:c>
      <x:c r="J19" s="4"/>
      <x:c r="K19" s="4"/>
      <x:c r="L19" s="4"/>
    </x:row>
    <x:row r="20" ht="30" customHeight="1">
      <x:c r="A20" s="3" t="str">
        <x:v>Table1</x:v>
      </x:c>
      <x:c r="B20" s="3" t="str">
        <x:v>全部影像扫描</x:v>
      </x:c>
      <x:c r="C20" s="3" t="str">
        <x:v>days_since_initial_event</x:v>
      </x:c>
      <x:c r="D20" s="3" t="str">
        <x:v>continuous</x:v>
      </x:c>
      <x:c r="E20" s="15" t="n">
        <x:v>182</x:v>
      </x:c>
      <x:c r="F20" s="15" t="n">
        <x:v>135</x:v>
      </x:c>
      <x:c r="G20" s="15" t="n">
        <x:v>146</x:v>
      </x:c>
      <x:c r="H20" s="15"/>
      <x:c r="I20" s="4"/>
      <x:c r="J20" s="4" t="n">
        <x:v>154</x:v>
      </x:c>
      <x:c r="K20" s="4" t="n">
        <x:v>40.5</x:v>
      </x:c>
      <x:c r="L20" s="4" t="n">
        <x:v>359.5</x:v>
      </x:c>
    </x:row>
    <x:row r="21" ht="30" customHeight="1">
      <x:c r="A21" s="3" t="str">
        <x:v>Table1</x:v>
      </x:c>
      <x:c r="B21" s="3" t="str">
        <x:v>肿瘤扫描</x:v>
      </x:c>
      <x:c r="C21" s="3" t="str">
        <x:v>days_since_initial_event</x:v>
      </x:c>
      <x:c r="D21" s="3" t="str">
        <x:v>continuous</x:v>
      </x:c>
      <x:c r="E21" s="15" t="n">
        <x:v>141</x:v>
      </x:c>
      <x:c r="F21" s="15" t="n">
        <x:v>114</x:v>
      </x:c>
      <x:c r="G21" s="15" t="n">
        <x:v>108</x:v>
      </x:c>
      <x:c r="H21" s="15"/>
      <x:c r="I21" s="4"/>
      <x:c r="J21" s="4" t="n">
        <x:v>96</x:v>
      </x:c>
      <x:c r="K21" s="4" t="n">
        <x:v>36</x:v>
      </x:c>
      <x:c r="L21" s="4" t="n">
        <x:v>261.75</x:v>
      </x:c>
    </x:row>
    <x:row r="22" ht="30" customHeight="1">
      <x:c r="A22" s="3" t="str">
        <x:v>Table1</x:v>
      </x:c>
      <x:c r="B22" s="3" t="str">
        <x:v>治疗改变扫描</x:v>
      </x:c>
      <x:c r="C22" s="3" t="str">
        <x:v>days_since_initial_event</x:v>
      </x:c>
      <x:c r="D22" s="3" t="str">
        <x:v>continuous</x:v>
      </x:c>
      <x:c r="E22" s="15" t="n">
        <x:v>41</x:v>
      </x:c>
      <x:c r="F22" s="15" t="n">
        <x:v>29</x:v>
      </x:c>
      <x:c r="G22" s="15" t="n">
        <x:v>38</x:v>
      </x:c>
      <x:c r="H22" s="15"/>
      <x:c r="I22" s="4"/>
      <x:c r="J22" s="4" t="n">
        <x:v>346</x:v>
      </x:c>
      <x:c r="K22" s="4" t="n">
        <x:v>140.5</x:v>
      </x:c>
      <x:c r="L22" s="4" t="n">
        <x:v>563.25</x:v>
      </x:c>
    </x:row>
    <x:row r="23" ht="30" customHeight="1">
      <x:c r="A23" s="3" t="str">
        <x:v>Table1</x:v>
      </x:c>
      <x:c r="B23" s="3" t="str">
        <x:v>全部影像扫描</x:v>
      </x:c>
      <x:c r="C23" s="3" t="str">
        <x:v>interval_observed</x:v>
      </x:c>
      <x:c r="D23" s="3" t="str">
        <x:v>binary</x:v>
      </x:c>
      <x:c r="E23" s="15" t="n">
        <x:v>182</x:v>
      </x:c>
      <x:c r="F23" s="15" t="n">
        <x:v>135</x:v>
      </x:c>
      <x:c r="G23" s="15" t="n">
        <x:v>182</x:v>
      </x:c>
      <x:c r="H23" s="15" t="n">
        <x:v>146</x:v>
      </x:c>
      <x:c r="I23" s="4" t="n">
        <x:v>80.21978021978022</x:v>
      </x:c>
      <x:c r="J23" s="4"/>
      <x:c r="K23" s="4"/>
      <x:c r="L23" s="4"/>
    </x:row>
    <x:row r="24" ht="30" customHeight="1">
      <x:c r="A24" s="3" t="str">
        <x:v>Table1</x:v>
      </x:c>
      <x:c r="B24" s="3" t="str">
        <x:v>肿瘤扫描</x:v>
      </x:c>
      <x:c r="C24" s="3" t="str">
        <x:v>interval_observed</x:v>
      </x:c>
      <x:c r="D24" s="3" t="str">
        <x:v>binary</x:v>
      </x:c>
      <x:c r="E24" s="15" t="n">
        <x:v>141</x:v>
      </x:c>
      <x:c r="F24" s="15" t="n">
        <x:v>114</x:v>
      </x:c>
      <x:c r="G24" s="15" t="n">
        <x:v>141</x:v>
      </x:c>
      <x:c r="H24" s="15" t="n">
        <x:v>108</x:v>
      </x:c>
      <x:c r="I24" s="4" t="n">
        <x:v>76.59574468085107</x:v>
      </x:c>
      <x:c r="J24" s="4"/>
      <x:c r="K24" s="4"/>
      <x:c r="L24" s="4"/>
    </x:row>
    <x:row r="25" ht="30" customHeight="1">
      <x:c r="A25" s="3" t="str">
        <x:v>Table1</x:v>
      </x:c>
      <x:c r="B25" s="3" t="str">
        <x:v>治疗改变扫描</x:v>
      </x:c>
      <x:c r="C25" s="3" t="str">
        <x:v>interval_observed</x:v>
      </x:c>
      <x:c r="D25" s="3" t="str">
        <x:v>binary</x:v>
      </x:c>
      <x:c r="E25" s="15" t="n">
        <x:v>41</x:v>
      </x:c>
      <x:c r="F25" s="15" t="n">
        <x:v>29</x:v>
      </x:c>
      <x:c r="G25" s="15" t="n">
        <x:v>41</x:v>
      </x:c>
      <x:c r="H25" s="15" t="n">
        <x:v>38</x:v>
      </x:c>
      <x:c r="I25" s="4" t="n">
        <x:v>92.6829268292683</x:v>
      </x:c>
      <x:c r="J25" s="4"/>
      <x:c r="K25" s="4"/>
      <x:c r="L25" s="4"/>
    </x:row>
    <x:row r="26" ht="30" customHeight="1">
      <x:c r="A26" s="3" t="str">
        <x:v>Table1</x:v>
      </x:c>
      <x:c r="B26" s="3" t="str">
        <x:v>全部影像扫描</x:v>
      </x:c>
      <x:c r="C26" s="3" t="str">
        <x:v>initial_event_missing</x:v>
      </x:c>
      <x:c r="D26" s="3" t="str">
        <x:v>binary</x:v>
      </x:c>
      <x:c r="E26" s="15" t="n">
        <x:v>182</x:v>
      </x:c>
      <x:c r="F26" s="15" t="n">
        <x:v>135</x:v>
      </x:c>
      <x:c r="G26" s="15" t="n">
        <x:v>182</x:v>
      </x:c>
      <x:c r="H26" s="15" t="n">
        <x:v>36</x:v>
      </x:c>
      <x:c r="I26" s="4" t="n">
        <x:v>19.78021978021978</x:v>
      </x:c>
      <x:c r="J26" s="4"/>
      <x:c r="K26" s="4"/>
      <x:c r="L26" s="4"/>
    </x:row>
    <x:row r="27" ht="30" customHeight="1">
      <x:c r="A27" s="3" t="str">
        <x:v>Table1</x:v>
      </x:c>
      <x:c r="B27" s="3" t="str">
        <x:v>肿瘤扫描</x:v>
      </x:c>
      <x:c r="C27" s="3" t="str">
        <x:v>initial_event_missing</x:v>
      </x:c>
      <x:c r="D27" s="3" t="str">
        <x:v>binary</x:v>
      </x:c>
      <x:c r="E27" s="15" t="n">
        <x:v>141</x:v>
      </x:c>
      <x:c r="F27" s="15" t="n">
        <x:v>114</x:v>
      </x:c>
      <x:c r="G27" s="15" t="n">
        <x:v>141</x:v>
      </x:c>
      <x:c r="H27" s="15" t="n">
        <x:v>33</x:v>
      </x:c>
      <x:c r="I27" s="4" t="n">
        <x:v>23.404255319148938</x:v>
      </x:c>
      <x:c r="J27" s="4"/>
      <x:c r="K27" s="4"/>
      <x:c r="L27" s="4"/>
    </x:row>
    <x:row r="28" ht="30" customHeight="1">
      <x:c r="A28" s="3" t="str">
        <x:v>Table1</x:v>
      </x:c>
      <x:c r="B28" s="3" t="str">
        <x:v>治疗改变扫描</x:v>
      </x:c>
      <x:c r="C28" s="3" t="str">
        <x:v>initial_event_missing</x:v>
      </x:c>
      <x:c r="D28" s="3" t="str">
        <x:v>binary</x:v>
      </x:c>
      <x:c r="E28" s="15" t="n">
        <x:v>41</x:v>
      </x:c>
      <x:c r="F28" s="15" t="n">
        <x:v>29</x:v>
      </x:c>
      <x:c r="G28" s="15" t="n">
        <x:v>41</x:v>
      </x:c>
      <x:c r="H28" s="15" t="n">
        <x:v>3</x:v>
      </x:c>
      <x:c r="I28" s="4" t="n">
        <x:v>7.317073170731708</x:v>
      </x:c>
      <x:c r="J28" s="4"/>
      <x:c r="K28" s="4"/>
      <x:c r="L28" s="4"/>
    </x:row>
    <x:row r="29" ht="30" customHeight="1">
      <x:c r="A29" s="3" t="str">
        <x:v>Table1</x:v>
      </x:c>
      <x:c r="B29" s="3" t="str">
        <x:v>全部影像扫描</x:v>
      </x:c>
      <x:c r="C29" s="3" t="str">
        <x:v>other_treatment_prior</x:v>
      </x:c>
      <x:c r="D29" s="3" t="str">
        <x:v>binary</x:v>
      </x:c>
      <x:c r="E29" s="15" t="n">
        <x:v>182</x:v>
      </x:c>
      <x:c r="F29" s="15" t="n">
        <x:v>135</x:v>
      </x:c>
      <x:c r="G29" s="15" t="n">
        <x:v>182</x:v>
      </x:c>
      <x:c r="H29" s="15" t="n">
        <x:v>25</x:v>
      </x:c>
      <x:c r="I29" s="4" t="n">
        <x:v>13.736263736263735</x:v>
      </x:c>
      <x:c r="J29" s="4"/>
      <x:c r="K29" s="4"/>
      <x:c r="L29" s="4"/>
    </x:row>
    <x:row r="30" ht="30" customHeight="1">
      <x:c r="A30" s="3" t="str">
        <x:v>Table1</x:v>
      </x:c>
      <x:c r="B30" s="3" t="str">
        <x:v>肿瘤扫描</x:v>
      </x:c>
      <x:c r="C30" s="3" t="str">
        <x:v>other_treatment_prior</x:v>
      </x:c>
      <x:c r="D30" s="3" t="str">
        <x:v>binary</x:v>
      </x:c>
      <x:c r="E30" s="15" t="n">
        <x:v>141</x:v>
      </x:c>
      <x:c r="F30" s="15" t="n">
        <x:v>114</x:v>
      </x:c>
      <x:c r="G30" s="15" t="n">
        <x:v>141</x:v>
      </x:c>
      <x:c r="H30" s="15" t="n">
        <x:v>20</x:v>
      </x:c>
      <x:c r="I30" s="4" t="n">
        <x:v>14.184397163120567</x:v>
      </x:c>
      <x:c r="J30" s="4"/>
      <x:c r="K30" s="4"/>
      <x:c r="L30" s="4"/>
    </x:row>
    <x:row r="31" ht="30" customHeight="1">
      <x:c r="A31" s="3" t="str">
        <x:v>Table1</x:v>
      </x:c>
      <x:c r="B31" s="3" t="str">
        <x:v>治疗改变扫描</x:v>
      </x:c>
      <x:c r="C31" s="3" t="str">
        <x:v>other_treatment_prior</x:v>
      </x:c>
      <x:c r="D31" s="3" t="str">
        <x:v>binary</x:v>
      </x:c>
      <x:c r="E31" s="15" t="n">
        <x:v>41</x:v>
      </x:c>
      <x:c r="F31" s="15" t="n">
        <x:v>29</x:v>
      </x:c>
      <x:c r="G31" s="15" t="n">
        <x:v>41</x:v>
      </x:c>
      <x:c r="H31" s="15" t="n">
        <x:v>5</x:v>
      </x:c>
      <x:c r="I31" s="4" t="n">
        <x:v>12.195121951219512</x:v>
      </x:c>
      <x:c r="J31" s="4"/>
      <x:c r="K31" s="4"/>
      <x:c r="L31" s="4"/>
    </x:row>
    <x:row r="32" ht="30" customHeight="1">
      <x:c r="A32" s="3" t="str">
        <x:v>TableS1</x:v>
      </x:c>
      <x:c r="B32" s="3" t="str">
        <x:v>临床全集</x:v>
      </x:c>
      <x:c r="C32" s="3" t="str">
        <x:v>scans</x:v>
      </x:c>
      <x:c r="D32" s="3" t="str">
        <x:v>n</x:v>
      </x:c>
      <x:c r="E32" s="15" t="n">
        <x:v>238</x:v>
      </x:c>
      <x:c r="F32" s="15" t="n">
        <x:v>176</x:v>
      </x:c>
      <x:c r="G32" s="15"/>
      <x:c r="H32" s="15" t="n">
        <x:v>238</x:v>
      </x:c>
      <x:c r="I32" s="4"/>
      <x:c r="J32" s="4"/>
      <x:c r="K32" s="4"/>
      <x:c r="L32" s="4"/>
    </x:row>
    <x:row r="33" ht="30" customHeight="1">
      <x:c r="A33" s="3" t="str">
        <x:v>TableS1</x:v>
      </x:c>
      <x:c r="B33" s="3" t="str">
        <x:v>影像覆盖</x:v>
      </x:c>
      <x:c r="C33" s="3" t="str">
        <x:v>scans</x:v>
      </x:c>
      <x:c r="D33" s="3" t="str">
        <x:v>n</x:v>
      </x:c>
      <x:c r="E33" s="15" t="n">
        <x:v>182</x:v>
      </x:c>
      <x:c r="F33" s="15" t="n">
        <x:v>135</x:v>
      </x:c>
      <x:c r="G33" s="15"/>
      <x:c r="H33" s="15" t="n">
        <x:v>182</x:v>
      </x:c>
      <x:c r="I33" s="4"/>
      <x:c r="J33" s="4"/>
      <x:c r="K33" s="4"/>
      <x:c r="L33" s="4"/>
    </x:row>
    <x:row r="34" ht="30" customHeight="1">
      <x:c r="A34" s="3" t="str">
        <x:v>TableS1</x:v>
      </x:c>
      <x:c r="B34" s="3" t="str">
        <x:v>影像未覆盖</x:v>
      </x:c>
      <x:c r="C34" s="3" t="str">
        <x:v>scans</x:v>
      </x:c>
      <x:c r="D34" s="3" t="str">
        <x:v>n</x:v>
      </x:c>
      <x:c r="E34" s="15" t="n">
        <x:v>56</x:v>
      </x:c>
      <x:c r="F34" s="15" t="n">
        <x:v>41</x:v>
      </x:c>
      <x:c r="G34" s="15"/>
      <x:c r="H34" s="15" t="n">
        <x:v>56</x:v>
      </x:c>
      <x:c r="I34" s="4"/>
      <x:c r="J34" s="4"/>
      <x:c r="K34" s="4"/>
      <x:c r="L34" s="4"/>
    </x:row>
    <x:row r="35" ht="30" customHeight="1">
      <x:c r="A35" s="3" t="str">
        <x:v>TableS1</x:v>
      </x:c>
      <x:c r="B35" s="3" t="str">
        <x:v>临床全集</x:v>
      </x:c>
      <x:c r="C35" s="3" t="str">
        <x:v>patients</x:v>
      </x:c>
      <x:c r="D35" s="3" t="str">
        <x:v>patients</x:v>
      </x:c>
      <x:c r="E35" s="15" t="n">
        <x:v>238</x:v>
      </x:c>
      <x:c r="F35" s="15" t="n">
        <x:v>176</x:v>
      </x:c>
      <x:c r="G35" s="15"/>
      <x:c r="H35" s="15" t="n">
        <x:v>176</x:v>
      </x:c>
      <x:c r="I35" s="4"/>
      <x:c r="J35" s="4"/>
      <x:c r="K35" s="4"/>
      <x:c r="L35" s="4"/>
    </x:row>
    <x:row r="36" ht="30" customHeight="1">
      <x:c r="A36" s="3" t="str">
        <x:v>TableS1</x:v>
      </x:c>
      <x:c r="B36" s="3" t="str">
        <x:v>影像覆盖</x:v>
      </x:c>
      <x:c r="C36" s="3" t="str">
        <x:v>patients</x:v>
      </x:c>
      <x:c r="D36" s="3" t="str">
        <x:v>patients</x:v>
      </x:c>
      <x:c r="E36" s="15" t="n">
        <x:v>182</x:v>
      </x:c>
      <x:c r="F36" s="15" t="n">
        <x:v>135</x:v>
      </x:c>
      <x:c r="G36" s="15"/>
      <x:c r="H36" s="15" t="n">
        <x:v>135</x:v>
      </x:c>
      <x:c r="I36" s="4"/>
      <x:c r="J36" s="4"/>
      <x:c r="K36" s="4"/>
      <x:c r="L36" s="4"/>
    </x:row>
    <x:row r="37" ht="30" customHeight="1">
      <x:c r="A37" s="3" t="str">
        <x:v>TableS1</x:v>
      </x:c>
      <x:c r="B37" s="3" t="str">
        <x:v>影像未覆盖</x:v>
      </x:c>
      <x:c r="C37" s="3" t="str">
        <x:v>patients</x:v>
      </x:c>
      <x:c r="D37" s="3" t="str">
        <x:v>patients</x:v>
      </x:c>
      <x:c r="E37" s="15" t="n">
        <x:v>56</x:v>
      </x:c>
      <x:c r="F37" s="15" t="n">
        <x:v>41</x:v>
      </x:c>
      <x:c r="G37" s="15"/>
      <x:c r="H37" s="15" t="n">
        <x:v>41</x:v>
      </x:c>
      <x:c r="I37" s="4"/>
      <x:c r="J37" s="4"/>
      <x:c r="K37" s="4"/>
      <x:c r="L37" s="4"/>
    </x:row>
    <x:row r="38" ht="30" customHeight="1">
      <x:c r="A38" s="3" t="str">
        <x:v>TableS1</x:v>
      </x:c>
      <x:c r="B38" s="3" t="str">
        <x:v>临床全集</x:v>
      </x:c>
      <x:c r="C38" s="3" t="str">
        <x:v>age_years</x:v>
      </x:c>
      <x:c r="D38" s="3" t="str">
        <x:v>continuous</x:v>
      </x:c>
      <x:c r="E38" s="15" t="n">
        <x:v>238</x:v>
      </x:c>
      <x:c r="F38" s="15" t="n">
        <x:v>176</x:v>
      </x:c>
      <x:c r="G38" s="15" t="n">
        <x:v>238</x:v>
      </x:c>
      <x:c r="H38" s="15"/>
      <x:c r="I38" s="4"/>
      <x:c r="J38" s="4" t="n">
        <x:v>56</x:v>
      </x:c>
      <x:c r="K38" s="4" t="n">
        <x:v>47</x:v>
      </x:c>
      <x:c r="L38" s="4" t="n">
        <x:v>64.75</x:v>
      </x:c>
    </x:row>
    <x:row r="39" ht="30" customHeight="1">
      <x:c r="A39" s="3" t="str">
        <x:v>TableS1</x:v>
      </x:c>
      <x:c r="B39" s="3" t="str">
        <x:v>影像覆盖</x:v>
      </x:c>
      <x:c r="C39" s="3" t="str">
        <x:v>age_years</x:v>
      </x:c>
      <x:c r="D39" s="3" t="str">
        <x:v>continuous</x:v>
      </x:c>
      <x:c r="E39" s="15" t="n">
        <x:v>182</x:v>
      </x:c>
      <x:c r="F39" s="15" t="n">
        <x:v>135</x:v>
      </x:c>
      <x:c r="G39" s="15" t="n">
        <x:v>182</x:v>
      </x:c>
      <x:c r="H39" s="15"/>
      <x:c r="I39" s="4"/>
      <x:c r="J39" s="4" t="n">
        <x:v>56.5</x:v>
      </x:c>
      <x:c r="K39" s="4" t="n">
        <x:v>49</x:v>
      </x:c>
      <x:c r="L39" s="4" t="n">
        <x:v>66</x:v>
      </x:c>
    </x:row>
    <x:row r="40" ht="30" customHeight="1">
      <x:c r="A40" s="3" t="str">
        <x:v>TableS1</x:v>
      </x:c>
      <x:c r="B40" s="3" t="str">
        <x:v>影像未覆盖</x:v>
      </x:c>
      <x:c r="C40" s="3" t="str">
        <x:v>age_years</x:v>
      </x:c>
      <x:c r="D40" s="3" t="str">
        <x:v>continuous</x:v>
      </x:c>
      <x:c r="E40" s="15" t="n">
        <x:v>56</x:v>
      </x:c>
      <x:c r="F40" s="15" t="n">
        <x:v>41</x:v>
      </x:c>
      <x:c r="G40" s="15" t="n">
        <x:v>56</x:v>
      </x:c>
      <x:c r="H40" s="15"/>
      <x:c r="I40" s="4"/>
      <x:c r="J40" s="4" t="n">
        <x:v>53.5</x:v>
      </x:c>
      <x:c r="K40" s="4" t="n">
        <x:v>45</x:v>
      </x:c>
      <x:c r="L40" s="4" t="n">
        <x:v>62</x:v>
      </x:c>
    </x:row>
    <x:row r="41" ht="30" customHeight="1">
      <x:c r="A41" s="3" t="str">
        <x:v>TableS1</x:v>
      </x:c>
      <x:c r="B41" s="3" t="str">
        <x:v>临床全集</x:v>
      </x:c>
      <x:c r="C41" s="3" t="str">
        <x:v>sex_male</x:v>
      </x:c>
      <x:c r="D41" s="3" t="str">
        <x:v>binary</x:v>
      </x:c>
      <x:c r="E41" s="15" t="n">
        <x:v>238</x:v>
      </x:c>
      <x:c r="F41" s="15" t="n">
        <x:v>176</x:v>
      </x:c>
      <x:c r="G41" s="15" t="n">
        <x:v>238</x:v>
      </x:c>
      <x:c r="H41" s="15" t="n">
        <x:v>166</x:v>
      </x:c>
      <x:c r="I41" s="4" t="n">
        <x:v>69.74789915966386</x:v>
      </x:c>
      <x:c r="J41" s="4"/>
      <x:c r="K41" s="4"/>
      <x:c r="L41" s="4"/>
    </x:row>
    <x:row r="42" ht="30" customHeight="1">
      <x:c r="A42" s="3" t="str">
        <x:v>TableS1</x:v>
      </x:c>
      <x:c r="B42" s="3" t="str">
        <x:v>影像覆盖</x:v>
      </x:c>
      <x:c r="C42" s="3" t="str">
        <x:v>sex_male</x:v>
      </x:c>
      <x:c r="D42" s="3" t="str">
        <x:v>binary</x:v>
      </x:c>
      <x:c r="E42" s="15" t="n">
        <x:v>182</x:v>
      </x:c>
      <x:c r="F42" s="15" t="n">
        <x:v>135</x:v>
      </x:c>
      <x:c r="G42" s="15" t="n">
        <x:v>182</x:v>
      </x:c>
      <x:c r="H42" s="15" t="n">
        <x:v>132</x:v>
      </x:c>
      <x:c r="I42" s="4" t="n">
        <x:v>72.52747252747253</x:v>
      </x:c>
      <x:c r="J42" s="4"/>
      <x:c r="K42" s="4"/>
      <x:c r="L42" s="4"/>
    </x:row>
    <x:row r="43" ht="30" customHeight="1">
      <x:c r="A43" s="3" t="str">
        <x:v>TableS1</x:v>
      </x:c>
      <x:c r="B43" s="3" t="str">
        <x:v>影像未覆盖</x:v>
      </x:c>
      <x:c r="C43" s="3" t="str">
        <x:v>sex_male</x:v>
      </x:c>
      <x:c r="D43" s="3" t="str">
        <x:v>binary</x:v>
      </x:c>
      <x:c r="E43" s="15" t="n">
        <x:v>56</x:v>
      </x:c>
      <x:c r="F43" s="15" t="n">
        <x:v>41</x:v>
      </x:c>
      <x:c r="G43" s="15" t="n">
        <x:v>56</x:v>
      </x:c>
      <x:c r="H43" s="15" t="n">
        <x:v>34</x:v>
      </x:c>
      <x:c r="I43" s="4" t="n">
        <x:v>60.714285714285715</x:v>
      </x:c>
      <x:c r="J43" s="4"/>
      <x:c r="K43" s="4"/>
      <x:c r="L43" s="4"/>
    </x:row>
    <x:row r="44" ht="30" customHeight="1">
      <x:c r="A44" s="3" t="str">
        <x:v>TableS1</x:v>
      </x:c>
      <x:c r="B44" s="3" t="str">
        <x:v>临床全集</x:v>
      </x:c>
      <x:c r="C44" s="3" t="str">
        <x:v>tumor_label</x:v>
      </x:c>
      <x:c r="D44" s="3" t="str">
        <x:v>binary</x:v>
      </x:c>
      <x:c r="E44" s="15" t="n">
        <x:v>238</x:v>
      </x:c>
      <x:c r="F44" s="15" t="n">
        <x:v>176</x:v>
      </x:c>
      <x:c r="G44" s="15" t="n">
        <x:v>238</x:v>
      </x:c>
      <x:c r="H44" s="15" t="n">
        <x:v>187</x:v>
      </x:c>
      <x:c r="I44" s="4" t="n">
        <x:v>78.57142857142857</x:v>
      </x:c>
      <x:c r="J44" s="4"/>
      <x:c r="K44" s="4"/>
      <x:c r="L44" s="4"/>
    </x:row>
    <x:row r="45" ht="30" customHeight="1">
      <x:c r="A45" s="3" t="str">
        <x:v>TableS1</x:v>
      </x:c>
      <x:c r="B45" s="3" t="str">
        <x:v>影像覆盖</x:v>
      </x:c>
      <x:c r="C45" s="3" t="str">
        <x:v>tumor_label</x:v>
      </x:c>
      <x:c r="D45" s="3" t="str">
        <x:v>binary</x:v>
      </x:c>
      <x:c r="E45" s="15" t="n">
        <x:v>182</x:v>
      </x:c>
      <x:c r="F45" s="15" t="n">
        <x:v>135</x:v>
      </x:c>
      <x:c r="G45" s="15" t="n">
        <x:v>182</x:v>
      </x:c>
      <x:c r="H45" s="15" t="n">
        <x:v>141</x:v>
      </x:c>
      <x:c r="I45" s="4" t="n">
        <x:v>77.47252747252747</x:v>
      </x:c>
      <x:c r="J45" s="4"/>
      <x:c r="K45" s="4"/>
      <x:c r="L45" s="4"/>
    </x:row>
    <x:row r="46" ht="30" customHeight="1">
      <x:c r="A46" s="3" t="str">
        <x:v>TableS1</x:v>
      </x:c>
      <x:c r="B46" s="3" t="str">
        <x:v>影像未覆盖</x:v>
      </x:c>
      <x:c r="C46" s="3" t="str">
        <x:v>tumor_label</x:v>
      </x:c>
      <x:c r="D46" s="3" t="str">
        <x:v>binary</x:v>
      </x:c>
      <x:c r="E46" s="15" t="n">
        <x:v>56</x:v>
      </x:c>
      <x:c r="F46" s="15" t="n">
        <x:v>41</x:v>
      </x:c>
      <x:c r="G46" s="15" t="n">
        <x:v>56</x:v>
      </x:c>
      <x:c r="H46" s="15" t="n">
        <x:v>46</x:v>
      </x:c>
      <x:c r="I46" s="4" t="n">
        <x:v>82.14285714285714</x:v>
      </x:c>
      <x:c r="J46" s="4"/>
      <x:c r="K46" s="4"/>
      <x:c r="L46" s="4"/>
    </x:row>
    <x:row r="47" ht="30" customHeight="1">
      <x:c r="A47" s="3" t="str">
        <x:v>TableS1</x:v>
      </x:c>
      <x:c r="B47" s="3" t="str">
        <x:v>临床全集</x:v>
      </x:c>
      <x:c r="C47" s="3" t="str">
        <x:v>treatment_change</x:v>
      </x:c>
      <x:c r="D47" s="3" t="str">
        <x:v>binary</x:v>
      </x:c>
      <x:c r="E47" s="15" t="n">
        <x:v>238</x:v>
      </x:c>
      <x:c r="F47" s="15" t="n">
        <x:v>176</x:v>
      </x:c>
      <x:c r="G47" s="15" t="n">
        <x:v>238</x:v>
      </x:c>
      <x:c r="H47" s="15" t="n">
        <x:v>51</x:v>
      </x:c>
      <x:c r="I47" s="4" t="n">
        <x:v>21.428571428571427</x:v>
      </x:c>
      <x:c r="J47" s="4"/>
      <x:c r="K47" s="4"/>
      <x:c r="L47" s="4"/>
    </x:row>
    <x:row r="48" ht="30" customHeight="1">
      <x:c r="A48" s="3" t="str">
        <x:v>TableS1</x:v>
      </x:c>
      <x:c r="B48" s="3" t="str">
        <x:v>影像覆盖</x:v>
      </x:c>
      <x:c r="C48" s="3" t="str">
        <x:v>treatment_change</x:v>
      </x:c>
      <x:c r="D48" s="3" t="str">
        <x:v>binary</x:v>
      </x:c>
      <x:c r="E48" s="15" t="n">
        <x:v>182</x:v>
      </x:c>
      <x:c r="F48" s="15" t="n">
        <x:v>135</x:v>
      </x:c>
      <x:c r="G48" s="15" t="n">
        <x:v>182</x:v>
      </x:c>
      <x:c r="H48" s="15" t="n">
        <x:v>41</x:v>
      </x:c>
      <x:c r="I48" s="4" t="n">
        <x:v>22.52747252747253</x:v>
      </x:c>
      <x:c r="J48" s="4"/>
      <x:c r="K48" s="4"/>
      <x:c r="L48" s="4"/>
    </x:row>
    <x:row r="49" ht="30" customHeight="1">
      <x:c r="A49" s="3" t="str">
        <x:v>TableS1</x:v>
      </x:c>
      <x:c r="B49" s="3" t="str">
        <x:v>影像未覆盖</x:v>
      </x:c>
      <x:c r="C49" s="3" t="str">
        <x:v>treatment_change</x:v>
      </x:c>
      <x:c r="D49" s="3" t="str">
        <x:v>binary</x:v>
      </x:c>
      <x:c r="E49" s="15" t="n">
        <x:v>56</x:v>
      </x:c>
      <x:c r="F49" s="15" t="n">
        <x:v>41</x:v>
      </x:c>
      <x:c r="G49" s="15" t="n">
        <x:v>56</x:v>
      </x:c>
      <x:c r="H49" s="15" t="n">
        <x:v>10</x:v>
      </x:c>
      <x:c r="I49" s="4" t="n">
        <x:v>17.857142857142858</x:v>
      </x:c>
      <x:c r="J49" s="4"/>
      <x:c r="K49" s="4"/>
      <x:c r="L49" s="4"/>
    </x:row>
    <x:row r="50" ht="30" customHeight="1">
      <x:c r="A50" s="3" t="str">
        <x:v>TableS1</x:v>
      </x:c>
      <x:c r="B50" s="3" t="str">
        <x:v>临床全集</x:v>
      </x:c>
      <x:c r="C50" s="3" t="str">
        <x:v>days_since_initial_event</x:v>
      </x:c>
      <x:c r="D50" s="3" t="str">
        <x:v>continuous</x:v>
      </x:c>
      <x:c r="E50" s="15" t="n">
        <x:v>238</x:v>
      </x:c>
      <x:c r="F50" s="15" t="n">
        <x:v>176</x:v>
      </x:c>
      <x:c r="G50" s="15" t="n">
        <x:v>192</x:v>
      </x:c>
      <x:c r="H50" s="15"/>
      <x:c r="I50" s="4"/>
      <x:c r="J50" s="4" t="n">
        <x:v>153.5</x:v>
      </x:c>
      <x:c r="K50" s="4" t="n">
        <x:v>37</x:v>
      </x:c>
      <x:c r="L50" s="4" t="n">
        <x:v>364.25</x:v>
      </x:c>
    </x:row>
    <x:row r="51" ht="30" customHeight="1">
      <x:c r="A51" s="3" t="str">
        <x:v>TableS1</x:v>
      </x:c>
      <x:c r="B51" s="3" t="str">
        <x:v>影像覆盖</x:v>
      </x:c>
      <x:c r="C51" s="3" t="str">
        <x:v>days_since_initial_event</x:v>
      </x:c>
      <x:c r="D51" s="3" t="str">
        <x:v>continuous</x:v>
      </x:c>
      <x:c r="E51" s="15" t="n">
        <x:v>182</x:v>
      </x:c>
      <x:c r="F51" s="15" t="n">
        <x:v>135</x:v>
      </x:c>
      <x:c r="G51" s="15" t="n">
        <x:v>146</x:v>
      </x:c>
      <x:c r="H51" s="15"/>
      <x:c r="I51" s="4"/>
      <x:c r="J51" s="4" t="n">
        <x:v>154</x:v>
      </x:c>
      <x:c r="K51" s="4" t="n">
        <x:v>40.5</x:v>
      </x:c>
      <x:c r="L51" s="4" t="n">
        <x:v>359.5</x:v>
      </x:c>
    </x:row>
    <x:row r="52" ht="30" customHeight="1">
      <x:c r="A52" s="3" t="str">
        <x:v>TableS1</x:v>
      </x:c>
      <x:c r="B52" s="3" t="str">
        <x:v>影像未覆盖</x:v>
      </x:c>
      <x:c r="C52" s="3" t="str">
        <x:v>days_since_initial_event</x:v>
      </x:c>
      <x:c r="D52" s="3" t="str">
        <x:v>continuous</x:v>
      </x:c>
      <x:c r="E52" s="15" t="n">
        <x:v>56</x:v>
      </x:c>
      <x:c r="F52" s="15" t="n">
        <x:v>41</x:v>
      </x:c>
      <x:c r="G52" s="15" t="n">
        <x:v>46</x:v>
      </x:c>
      <x:c r="H52" s="15"/>
      <x:c r="I52" s="4"/>
      <x:c r="J52" s="4" t="n">
        <x:v>153</x:v>
      </x:c>
      <x:c r="K52" s="4" t="n">
        <x:v>33.5</x:v>
      </x:c>
      <x:c r="L52" s="4" t="n">
        <x:v>439.25</x:v>
      </x:c>
    </x:row>
    <x:row r="53" ht="30" customHeight="1">
      <x:c r="A53" s="3" t="str">
        <x:v>TableS1</x:v>
      </x:c>
      <x:c r="B53" s="3" t="str">
        <x:v>临床全集</x:v>
      </x:c>
      <x:c r="C53" s="3" t="str">
        <x:v>interval_observed</x:v>
      </x:c>
      <x:c r="D53" s="3" t="str">
        <x:v>binary</x:v>
      </x:c>
      <x:c r="E53" s="15" t="n">
        <x:v>238</x:v>
      </x:c>
      <x:c r="F53" s="15" t="n">
        <x:v>176</x:v>
      </x:c>
      <x:c r="G53" s="15" t="n">
        <x:v>238</x:v>
      </x:c>
      <x:c r="H53" s="15" t="n">
        <x:v>192</x:v>
      </x:c>
      <x:c r="I53" s="4" t="n">
        <x:v>80.67226890756302</x:v>
      </x:c>
      <x:c r="J53" s="4"/>
      <x:c r="K53" s="4"/>
      <x:c r="L53" s="4"/>
    </x:row>
    <x:row r="54" ht="30" customHeight="1">
      <x:c r="A54" s="3" t="str">
        <x:v>TableS1</x:v>
      </x:c>
      <x:c r="B54" s="3" t="str">
        <x:v>影像覆盖</x:v>
      </x:c>
      <x:c r="C54" s="3" t="str">
        <x:v>interval_observed</x:v>
      </x:c>
      <x:c r="D54" s="3" t="str">
        <x:v>binary</x:v>
      </x:c>
      <x:c r="E54" s="15" t="n">
        <x:v>182</x:v>
      </x:c>
      <x:c r="F54" s="15" t="n">
        <x:v>135</x:v>
      </x:c>
      <x:c r="G54" s="15" t="n">
        <x:v>182</x:v>
      </x:c>
      <x:c r="H54" s="15" t="n">
        <x:v>146</x:v>
      </x:c>
      <x:c r="I54" s="4" t="n">
        <x:v>80.21978021978022</x:v>
      </x:c>
      <x:c r="J54" s="4"/>
      <x:c r="K54" s="4"/>
      <x:c r="L54" s="4"/>
    </x:row>
    <x:row r="55" ht="30" customHeight="1">
      <x:c r="A55" s="3" t="str">
        <x:v>TableS1</x:v>
      </x:c>
      <x:c r="B55" s="3" t="str">
        <x:v>影像未覆盖</x:v>
      </x:c>
      <x:c r="C55" s="3" t="str">
        <x:v>interval_observed</x:v>
      </x:c>
      <x:c r="D55" s="3" t="str">
        <x:v>binary</x:v>
      </x:c>
      <x:c r="E55" s="15" t="n">
        <x:v>56</x:v>
      </x:c>
      <x:c r="F55" s="15" t="n">
        <x:v>41</x:v>
      </x:c>
      <x:c r="G55" s="15" t="n">
        <x:v>56</x:v>
      </x:c>
      <x:c r="H55" s="15" t="n">
        <x:v>46</x:v>
      </x:c>
      <x:c r="I55" s="4" t="n">
        <x:v>82.14285714285714</x:v>
      </x:c>
      <x:c r="J55" s="4"/>
      <x:c r="K55" s="4"/>
      <x:c r="L55" s="4"/>
    </x:row>
    <x:row r="56" ht="30" customHeight="1">
      <x:c r="A56" s="3" t="str">
        <x:v>TableS1</x:v>
      </x:c>
      <x:c r="B56" s="3" t="str">
        <x:v>临床全集</x:v>
      </x:c>
      <x:c r="C56" s="3" t="str">
        <x:v>initial_event_missing</x:v>
      </x:c>
      <x:c r="D56" s="3" t="str">
        <x:v>binary</x:v>
      </x:c>
      <x:c r="E56" s="15" t="n">
        <x:v>238</x:v>
      </x:c>
      <x:c r="F56" s="15" t="n">
        <x:v>176</x:v>
      </x:c>
      <x:c r="G56" s="15" t="n">
        <x:v>238</x:v>
      </x:c>
      <x:c r="H56" s="15" t="n">
        <x:v>46</x:v>
      </x:c>
      <x:c r="I56" s="4" t="n">
        <x:v>19.327731092436974</x:v>
      </x:c>
      <x:c r="J56" s="4"/>
      <x:c r="K56" s="4"/>
      <x:c r="L56" s="4"/>
    </x:row>
    <x:row r="57" ht="30" customHeight="1">
      <x:c r="A57" s="3" t="str">
        <x:v>TableS1</x:v>
      </x:c>
      <x:c r="B57" s="3" t="str">
        <x:v>影像覆盖</x:v>
      </x:c>
      <x:c r="C57" s="3" t="str">
        <x:v>initial_event_missing</x:v>
      </x:c>
      <x:c r="D57" s="3" t="str">
        <x:v>binary</x:v>
      </x:c>
      <x:c r="E57" s="15" t="n">
        <x:v>182</x:v>
      </x:c>
      <x:c r="F57" s="15" t="n">
        <x:v>135</x:v>
      </x:c>
      <x:c r="G57" s="15" t="n">
        <x:v>182</x:v>
      </x:c>
      <x:c r="H57" s="15" t="n">
        <x:v>36</x:v>
      </x:c>
      <x:c r="I57" s="4" t="n">
        <x:v>19.78021978021978</x:v>
      </x:c>
      <x:c r="J57" s="4"/>
      <x:c r="K57" s="4"/>
      <x:c r="L57" s="4"/>
    </x:row>
    <x:row r="58" ht="30" customHeight="1">
      <x:c r="A58" s="3" t="str">
        <x:v>TableS1</x:v>
      </x:c>
      <x:c r="B58" s="3" t="str">
        <x:v>影像未覆盖</x:v>
      </x:c>
      <x:c r="C58" s="3" t="str">
        <x:v>initial_event_missing</x:v>
      </x:c>
      <x:c r="D58" s="3" t="str">
        <x:v>binary</x:v>
      </x:c>
      <x:c r="E58" s="15" t="n">
        <x:v>56</x:v>
      </x:c>
      <x:c r="F58" s="15" t="n">
        <x:v>41</x:v>
      </x:c>
      <x:c r="G58" s="15" t="n">
        <x:v>56</x:v>
      </x:c>
      <x:c r="H58" s="15" t="n">
        <x:v>10</x:v>
      </x:c>
      <x:c r="I58" s="4" t="n">
        <x:v>17.857142857142858</x:v>
      </x:c>
      <x:c r="J58" s="4"/>
      <x:c r="K58" s="4"/>
      <x:c r="L58" s="4"/>
    </x:row>
    <x:row r="59" ht="30" customHeight="1">
      <x:c r="A59" s="3" t="str">
        <x:v>TableS1</x:v>
      </x:c>
      <x:c r="B59" s="3" t="str">
        <x:v>临床全集</x:v>
      </x:c>
      <x:c r="C59" s="3" t="str">
        <x:v>other_treatment_prior</x:v>
      </x:c>
      <x:c r="D59" s="3" t="str">
        <x:v>binary</x:v>
      </x:c>
      <x:c r="E59" s="15" t="n">
        <x:v>238</x:v>
      </x:c>
      <x:c r="F59" s="15" t="n">
        <x:v>176</x:v>
      </x:c>
      <x:c r="G59" s="15" t="n">
        <x:v>238</x:v>
      </x:c>
      <x:c r="H59" s="15" t="n">
        <x:v>38</x:v>
      </x:c>
      <x:c r="I59" s="4" t="n">
        <x:v>15.966386554621849</x:v>
      </x:c>
      <x:c r="J59" s="4"/>
      <x:c r="K59" s="4"/>
      <x:c r="L59" s="4"/>
    </x:row>
    <x:row r="60" ht="30" customHeight="1">
      <x:c r="A60" s="3" t="str">
        <x:v>TableS1</x:v>
      </x:c>
      <x:c r="B60" s="3" t="str">
        <x:v>影像覆盖</x:v>
      </x:c>
      <x:c r="C60" s="3" t="str">
        <x:v>other_treatment_prior</x:v>
      </x:c>
      <x:c r="D60" s="3" t="str">
        <x:v>binary</x:v>
      </x:c>
      <x:c r="E60" s="15" t="n">
        <x:v>182</x:v>
      </x:c>
      <x:c r="F60" s="15" t="n">
        <x:v>135</x:v>
      </x:c>
      <x:c r="G60" s="15" t="n">
        <x:v>182</x:v>
      </x:c>
      <x:c r="H60" s="15" t="n">
        <x:v>25</x:v>
      </x:c>
      <x:c r="I60" s="4" t="n">
        <x:v>13.736263736263735</x:v>
      </x:c>
      <x:c r="J60" s="4"/>
      <x:c r="K60" s="4"/>
      <x:c r="L60" s="4"/>
    </x:row>
    <x:row r="61" ht="30" customHeight="1">
      <x:c r="A61" s="3" t="str">
        <x:v>TableS1</x:v>
      </x:c>
      <x:c r="B61" s="3" t="str">
        <x:v>影像未覆盖</x:v>
      </x:c>
      <x:c r="C61" s="3" t="str">
        <x:v>other_treatment_prior</x:v>
      </x:c>
      <x:c r="D61" s="3" t="str">
        <x:v>binary</x:v>
      </x:c>
      <x:c r="E61" s="15" t="n">
        <x:v>56</x:v>
      </x:c>
      <x:c r="F61" s="15" t="n">
        <x:v>41</x:v>
      </x:c>
      <x:c r="G61" s="15" t="n">
        <x:v>56</x:v>
      </x:c>
      <x:c r="H61" s="15" t="n">
        <x:v>13</x:v>
      </x:c>
      <x:c r="I61" s="4" t="n">
        <x:v>23.214285714285715</x:v>
      </x:c>
      <x:c r="J61" s="4"/>
      <x:c r="K61" s="4"/>
      <x:c r="L61" s="4"/>
    </x:row>
  </x:sheetData>
  <x:pageMargins left="0.7" right="0.7" top="0.75" bottom="0.75" header="0.3" footer="0.3"/>
  <x:tableParts count="1">
    <x:tablePart xmlns:r="http://schemas.openxmlformats.org/officeDocument/2006/relationships" r:id="R6927ebaffcc14c9b"/>
  </x:tableParts>
</x:worksheet>
</file>