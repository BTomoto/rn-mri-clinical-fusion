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67de6ef48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9d1969ea0742fa"/>
    <x:sheet xmlns:r="http://schemas.openxmlformats.org/officeDocument/2006/relationships" name="OOF" sheetId="2" r:id="R5c481ff0be1248da"/>
    <x:sheet xmlns:r="http://schemas.openxmlformats.org/officeDocument/2006/relationships" name="Folds" sheetId="3" r:id="R985faa1180d24c45"/>
    <x:sheet xmlns:r="http://schemas.openxmlformats.org/officeDocument/2006/relationships" name="Sensitivity" sheetId="4" r:id="R968ff991cbfd44a8"/>
    <x:sheet xmlns:r="http://schemas.openxmlformats.org/officeDocument/2006/relationships" name="Scope" sheetId="5" r:id="R45a9fbc94f8b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0.000000"/>
    <x:numFmt numFmtId="203" formatCode="0.0000"/>
  </x:numFmts>
  <x:fonts count="5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b/>
      <x:sz val="14"/>
      <x:color rgb="FF20384F"/>
      <x:name val="Arial"/>
    </x:font>
    <x:font>
      <x:b/>
      <x:sz val="15"/>
      <x:color rgb="FF2038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5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695759b99d4313" /><Relationship Type="http://schemas.openxmlformats.org/officeDocument/2006/relationships/theme" Target="/xl/theme/theme1.xml" Id="R94807ab0a8a24507" /><Relationship Type="http://schemas.openxmlformats.org/officeDocument/2006/relationships/sharedStrings" Target="/xl/sharedStrings.xml" Id="Re8accb64bfd94458" /><Relationship Type="http://schemas.openxmlformats.org/officeDocument/2006/relationships/worksheet" Target="/xl/worksheets/sheet1.xml" Id="Rcc9d1969ea0742fa" /><Relationship Type="http://schemas.openxmlformats.org/officeDocument/2006/relationships/worksheet" Target="/xl/worksheets/sheet2.xml" Id="R5c481ff0be1248da" /><Relationship Type="http://schemas.openxmlformats.org/officeDocument/2006/relationships/worksheet" Target="/xl/worksheets/sheet3.xml" Id="R985faa1180d24c45" /><Relationship Type="http://schemas.openxmlformats.org/officeDocument/2006/relationships/worksheet" Target="/xl/worksheets/sheet4.xml" Id="R968ff991cbfd44a8" /><Relationship Type="http://schemas.openxmlformats.org/officeDocument/2006/relationships/worksheet" Target="/xl/worksheets/sheet5.xml" Id="R45a9fbc94f8b4cac" /></Relationships>
</file>

<file path=xl/tables/table1.xml><?xml version="1.0" encoding="utf-8"?>
<x:table xmlns:x="http://schemas.openxmlformats.org/spreadsheetml/2006/main" id="1" name="ClinicalRevalidationOOF" displayName="ClinicalRevalidationOOF" ref="A1:Y239" headerRowCount="1" totalsRowCount="0" totalsRowShown="0">
  <x:tableColumns count="25">
    <x:tableColumn id="1" name="ID"/>
    <x:tableColumn id="2" name="patient_id"/>
    <x:tableColumn id="3" name="BraTS ID"/>
    <x:tableColumn id="4" name="brats_patient_id"/>
    <x:tableColumn id="5" name="validation_group"/>
    <x:tableColumn id="6" name="tumor_label"/>
    <x:tableColumn id="7" name="label_source"/>
    <x:tableColumn id="8" name="age_years"/>
    <x:tableColumn id="9" name="sex_male"/>
    <x:tableColumn id="10" name="other_treatment_prior"/>
    <x:tableColumn id="11" name="initial_event_offset_raw"/>
    <x:tableColumn id="12" name="days_since_initial_event"/>
    <x:tableColumn id="13" name="log_initial_event_days"/>
    <x:tableColumn id="14" name="initial_event_missing"/>
    <x:tableColumn id="15" name="primary_diagnosis_raw"/>
    <x:tableColumn id="16" name="validation_fold"/>
    <x:tableColumn id="17" name="M0_oof_probability"/>
    <x:tableColumn id="18" name="M0_prediction_0_5"/>
    <x:tableColumn id="19" name="M1_oof_probability"/>
    <x:tableColumn id="20" name="M1_prediction_0_5"/>
    <x:tableColumn id="21" name="prior_oof_probability"/>
    <x:tableColumn id="22" name="prior_prediction_0_5"/>
    <x:tableColumn id="23" name="M0_squared_error"/>
    <x:tableColumn id="24" name="M1_squared_error"/>
    <x:tableColumn id="25" name="prior_squared_err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nicalRevalidationFolds" displayName="ClinicalRevalidationFolds" ref="A1:S11" headerRowCount="1" totalsRowCount="0" totalsRowShown="0">
  <x:tableColumns count="19">
    <x:tableColumn id="1" name="fold"/>
    <x:tableColumn id="2" name="model"/>
    <x:tableColumn id="3" name="n_train"/>
    <x:tableColumn id="4" name="n_test"/>
    <x:tableColumn id="5" name="n_test_patients"/>
    <x:tableColumn id="6" name="test_tumor"/>
    <x:tableColumn id="7" name="test_treatment_change"/>
    <x:tableColumn id="8" name="roc_auc"/>
    <x:tableColumn id="9" name="ap_tumor"/>
    <x:tableColumn id="10" name="ap_treatment_change"/>
    <x:tableColumn id="11" name="brier"/>
    <x:tableColumn id="12" name="sensitivity_tumor"/>
    <x:tableColumn id="13" name="specificity_treatment_change"/>
    <x:tableColumn id="14" name="balanced_accuracy"/>
    <x:tableColumn id="15" name="accuracy"/>
    <x:tableColumn id="16" name="tn"/>
    <x:tableColumn id="17" name="fp"/>
    <x:tableColumn id="18" name="fn"/>
    <x:tableColumn id="19" name="t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inicalFoldPreprocessing" displayName="ClinicalFoldPreprocessing" ref="A15:E20" headerRowCount="1" totalsRowCount="0" totalsRowShown="0">
  <x:tableColumns count="5">
    <x:tableColumn id="1" name="fold"/>
    <x:tableColumn id="2" name="train_age_mean"/>
    <x:tableColumn id="3" name="train_log_interval_impute_median"/>
    <x:tableColumn id="4" name="train_log_interval_mean_after_fill"/>
    <x:tableColumn id="5" name="train_log_interval_sd_after_fil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inicalFinalParameters" displayName="ClinicalFinalParameters" ref="A24:D33" headerRowCount="1" totalsRowCount="0" totalsRowShown="0">
  <x:tableColumns count="4">
    <x:tableColumn id="1" name="model"/>
    <x:tableColumn id="2" name="feature"/>
    <x:tableColumn id="3" name="coefficient"/>
    <x:tableColumn id="4" name="mean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inicalCompleteIntervalOOF" displayName="ClinicalCompleteIntervalOOF" ref="A11:V203" headerRowCount="1" totalsRowCount="0" totalsRowShown="0">
  <x:tableColumns count="22">
    <x:tableColumn id="1" name="ID"/>
    <x:tableColumn id="2" name="patient_id"/>
    <x:tableColumn id="3" name="BraTS ID"/>
    <x:tableColumn id="4" name="brats_patient_id"/>
    <x:tableColumn id="5" name="validation_group"/>
    <x:tableColumn id="6" name="tumor_label"/>
    <x:tableColumn id="7" name="label_source"/>
    <x:tableColumn id="8" name="age_years"/>
    <x:tableColumn id="9" name="sex_male"/>
    <x:tableColumn id="10" name="other_treatment_prior"/>
    <x:tableColumn id="11" name="initial_event_offset_raw"/>
    <x:tableColumn id="12" name="days_since_initial_event"/>
    <x:tableColumn id="13" name="log_initial_event_days"/>
    <x:tableColumn id="14" name="initial_event_missing"/>
    <x:tableColumn id="15" name="primary_diagnosis_raw"/>
    <x:tableColumn id="16" name="validation_fold"/>
    <x:tableColumn id="17" name="M0_oof_probability"/>
    <x:tableColumn id="18" name="M0_prediction_0_5"/>
    <x:tableColumn id="19" name="M1_oof_probability"/>
    <x:tableColumn id="20" name="M1_prediction_0_5"/>
    <x:tableColumn id="21" name="prior_oof_probability"/>
    <x:tableColumn id="22" name="prior_prediction_0_5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linicalIdentityExclusions" displayName="ClinicalIdentityExclusions" ref="A13:F18" headerRowCount="1" totalsRowCount="0" totalsRowShown="0">
  <x:tableColumns count="6">
    <x:tableColumn id="1" name="ID"/>
    <x:tableColumn id="2" name="patient_id"/>
    <x:tableColumn id="3" name="BraTS ID"/>
    <x:tableColumn id="4" name="brats_patient_id"/>
    <x:tableColumn id="5" name="tumor_label"/>
    <x:tableColumn id="6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795bebb5164c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2df5711acb4b46" /><Relationship Type="http://schemas.openxmlformats.org/officeDocument/2006/relationships/table" Target="/xl/tables/table3.xml" Id="R6e15e852c6b442e7" /><Relationship Type="http://schemas.openxmlformats.org/officeDocument/2006/relationships/table" Target="/xl/tables/table4.xml" Id="Rfdf10286fed848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f0c0c447235c40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3189305592f4daa" /></Relationships>
</file>

<file path=xl/worksheets/sheet1.xml><?xml version="1.0" encoding="utf-8"?>
<x:worksheet xmlns:x="http://schemas.openxmlformats.org/spreadsheetml/2006/main">
  <x:sheetPr>
    <x:tabColor rgb="FF35556D"/>
  </x:sheetPr>
  <x:sheetViews>
    <x:sheetView showGridLines="0" workbookViewId="0"/>
  </x:sheetViews>
  <x:sheetFormatPr defaultRowHeight="15"/>
  <x:cols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4" hidden="0" customWidth="1"/>
    <x:col min="10" max="10" width="76" hidden="0" customWidth="1"/>
  </x:cols>
  <x:sheetData>
    <x:row r="2">
      <x:c r="B2" s="30" t="str">
        <x:v>ID隔离后的临床模型重验与扩展</x:v>
      </x:c>
    </x:row>
    <x:row r="4" ht="58" customHeight="1">
      <x:c r="B4" s="25" t="str">
        <x:v>同一主分析队列</x:v>
      </x:c>
      <x:c r="C4" s="25" t="str">
        <x:v>数量</x:v>
      </x:c>
      <x:c r="D4" s="25" t="str">
        <x:v>单位</x:v>
      </x:c>
      <x:c r="E4" s="2"/>
      <x:c r="F4" s="2"/>
      <x:c r="G4" s="2"/>
      <x:c r="H4" s="2"/>
      <x:c r="I4" s="2"/>
      <x:c r="J4" s="25" t="str">
        <x:v>本步结论</x:v>
      </x:c>
    </x:row>
    <x:row r="5" ht="31" customHeight="1">
      <x:c r="B5" s="2" t="str">
        <x:v>纳入扫描</x:v>
      </x:c>
      <x:c r="C5" s="2" t="n">
        <x:f>COUNTA(OOF!A2:A239)</x:f>
        <x:v>238</x:v>
      </x:c>
      <x:c r="D5" s="2" t="str">
        <x:v>次</x:v>
      </x:c>
      <x:c r="E5" s="2"/>
      <x:c r="F5" s="2"/>
      <x:c r="G5" s="2"/>
      <x:c r="H5" s="2"/>
      <x:c r="I5" s="2"/>
      <x:c r="J5" s="2" t="str">
        <x:v>扩展临床AUC点估计由0.612升至0.679。</x:v>
      </x:c>
    </x:row>
    <x:row r="6" ht="31" customHeight="1">
      <x:c r="B6" s="2" t="str">
        <x:v>源患者去重</x:v>
      </x:c>
      <x:c r="C6" s="2" t="n">
        <x:v>176</x:v>
      </x:c>
      <x:c r="D6" s="2" t="str">
        <x:v>名</x:v>
      </x:c>
      <x:c r="E6" s="2"/>
      <x:c r="F6" s="2"/>
      <x:c r="G6" s="2"/>
      <x:c r="H6" s="2"/>
      <x:c r="I6" s="2"/>
      <x:c r="J6" s="2" t="str">
        <x:v>成对增益区间跨0，只能称改善趋势。</x:v>
      </x:c>
    </x:row>
    <x:row r="7" ht="31" customHeight="1">
      <x:c r="B7" s="2" t="str">
        <x:v>肿瘤 / 治疗改变</x:v>
      </x:c>
      <x:c r="C7" s="2" t="n">
        <x:v>187</x:v>
      </x:c>
      <x:c r="D7" s="2" t="str">
        <x:v>次肿瘤（另51次改变）</x:v>
      </x:c>
      <x:c r="E7" s="2"/>
      <x:c r="F7" s="2"/>
      <x:c r="G7" s="2"/>
      <x:c r="H7" s="2"/>
      <x:c r="I7" s="2"/>
      <x:c r="J7" s="2" t="str">
        <x:v>0.5阈值仅识别51次治疗改变中的5次。</x:v>
      </x:c>
    </x:row>
    <x:row r="8" ht="31" customHeight="1">
      <x:c r="B8" s="2" t="str">
        <x:v>隔离ID冲突扫描</x:v>
      </x:c>
      <x:c r="C8" s="2" t="n">
        <x:v>5</x:v>
      </x:c>
      <x:c r="D8" s="2" t="str">
        <x:v>次</x:v>
      </x:c>
      <x:c r="E8" s="2"/>
      <x:c r="F8" s="2"/>
      <x:c r="G8" s="2"/>
      <x:c r="H8" s="2"/>
      <x:c r="I8" s="2"/>
      <x:c r="J8" s="2" t="str">
        <x:v>两套患者ID均无训练/验证交叉。</x:v>
      </x:c>
    </x:row>
    <x:row r="9" ht="31" customHeight="1">
      <x:c r="B9" s="2" t="str">
        <x:v>初始间隔缺失</x:v>
      </x:c>
      <x:c r="C9" s="2" t="n">
        <x:f>SUM(OOF!N2:N239)</x:f>
        <x:v>46</x:v>
      </x:c>
      <x:c r="D9" s="2" t="str">
        <x:v>次</x:v>
      </x:c>
      <x:c r="E9" s="2"/>
      <x:c r="F9" s="2"/>
      <x:c r="G9" s="2"/>
      <x:c r="H9" s="2"/>
      <x:c r="I9" s="2"/>
      <x:c r="J9" s="2" t="str">
        <x:v>上轮0.575是不同队列/折的历史结果。</x:v>
      </x:c>
    </x:row>
    <x:row r="10" ht="31" customHeight="1"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31" customHeight="1"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58" customHeight="1">
      <x:c r="B12" s="25" t="str">
        <x:v>OOF模型</x:v>
      </x:c>
      <x:c r="C12" s="25" t="str">
        <x:v>ROC AUC</x:v>
      </x:c>
      <x:c r="D12" s="25" t="str">
        <x:v>95%下限</x:v>
      </x:c>
      <x:c r="E12" s="25" t="str">
        <x:v>95%上限</x:v>
      </x:c>
      <x:c r="F12" s="25" t="str">
        <x:v>Brier</x:v>
      </x:c>
      <x:c r="G12" s="25" t="str">
        <x:v>治疗改变AP</x:v>
      </x:c>
      <x:c r="H12" s="25" t="str">
        <x:v>特异度@0.5</x:v>
      </x:c>
      <x:c r="I12" s="2"/>
      <x:c r="J12" s="2"/>
    </x:row>
    <x:row r="13" ht="58" customHeight="1">
      <x:c r="B13" s="2" t="str">
        <x:v>M0</x:v>
      </x:c>
      <x:c r="C13" s="26" t="n">
        <x:v>0.6123518926287093</x:v>
      </x:c>
      <x:c r="D13" s="26" t="n">
        <x:v>0.512186967855178</x:v>
      </x:c>
      <x:c r="E13" s="26" t="n">
        <x:v>0.7147247959877592</x:v>
      </x:c>
      <x:c r="F13" s="26" t="n">
        <x:f>AVERAGE(OOF!W2:W239)</x:f>
        <x:v>0.16397461818367787</x:v>
      </x:c>
      <x:c r="G13" s="26" t="n">
        <x:v>0.31037883815354655</x:v>
      </x:c>
      <x:c r="H13" s="26" t="n">
        <x:v>0</x:v>
      </x:c>
      <x:c r="I13" s="2"/>
      <x:c r="J13" s="25" t="str">
        <x:v>解释限制</x:v>
      </x:c>
    </x:row>
    <x:row r="14" ht="31" customHeight="1">
      <x:c r="B14" s="2" t="str">
        <x:v>M1</x:v>
      </x:c>
      <x:c r="C14" s="26" t="n">
        <x:v>0.6789871028625355</x:v>
      </x:c>
      <x:c r="D14" s="26" t="n">
        <x:v>0.5726532718684241</x:v>
      </x:c>
      <x:c r="E14" s="26" t="n">
        <x:v>0.7749659010903029</x:v>
      </x:c>
      <x:c r="F14" s="26" t="n">
        <x:f>AVERAGE(OOF!X2:X239)</x:f>
        <x:v>0.15468129302599154</x:v>
      </x:c>
      <x:c r="G14" s="26" t="n">
        <x:v>0.406353119146628</x:v>
      </x:c>
      <x:c r="H14" s="26" t="n">
        <x:v>0.09803921568627451</x:v>
      </x:c>
      <x:c r="I14" s="2"/>
      <x:c r="J14" s="2" t="str">
        <x:v>4项临床变量，另含间隔缺失标记。</x:v>
      </x:c>
    </x:row>
    <x:row r="15" ht="31" customHeight="1">
      <x:c r="B15" s="2" t="str">
        <x:v>prior</x:v>
      </x:c>
      <x:c r="C15" s="26" t="n">
        <x:v>0.49218831917793854</x:v>
      </x:c>
      <x:c r="D15" s="26"/>
      <x:c r="E15" s="26"/>
      <x:c r="F15" s="26" t="n">
        <x:f>AVERAGE(OOF!Y2:Y239)</x:f>
        <x:v>0.16838472620105865</x:v>
      </x:c>
      <x:c r="G15" s="26" t="n">
        <x:v>0.2115624027388733</x:v>
      </x:c>
      <x:c r="H15" s="26" t="n">
        <x:v>0</x:v>
      </x:c>
      <x:c r="I15" s="2"/>
      <x:c r="J15" s="2" t="str">
        <x:v>46次间隔缺失可能反映记录模式。</x:v>
      </x:c>
    </x:row>
    <x:row r="16" ht="31" customHeight="1">
      <x:c r="B16" s="2"/>
      <x:c r="C16" s="2"/>
      <x:c r="D16" s="2"/>
      <x:c r="E16" s="2"/>
      <x:c r="F16" s="2"/>
      <x:c r="G16" s="2"/>
      <x:c r="H16" s="2"/>
      <x:c r="I16" s="2"/>
      <x:c r="J16" s="2" t="str">
        <x:v>区间条件于固定OOF预测，未做外部验证。</x:v>
      </x:c>
    </x:row>
    <x:row r="17" ht="31" customHeight="1">
      <x:c r="B17" s="2"/>
      <x:c r="C17" s="2"/>
      <x:c r="D17" s="2"/>
      <x:c r="E17" s="2"/>
      <x:c r="F17" s="2"/>
      <x:c r="G17" s="2"/>
      <x:c r="H17" s="2"/>
      <x:c r="I17" s="2"/>
      <x:c r="J17" s="2" t="str">
        <x:v>完整资料次要分析不能替换主分析。</x:v>
      </x:c>
    </x:row>
    <x:row r="18" ht="58" customHeight="1">
      <x:c r="B18" s="25" t="str">
        <x:v>成对M1−M0</x:v>
      </x:c>
      <x:c r="C18" s="25" t="str">
        <x:v>差值</x:v>
      </x:c>
      <x:c r="D18" s="25" t="str">
        <x:v>95%下限</x:v>
      </x:c>
      <x:c r="E18" s="25" t="str">
        <x:v>95%上限</x:v>
      </x:c>
      <x:c r="F18" s="25" t="str">
        <x:v>解释</x:v>
      </x:c>
      <x:c r="G18" s="2"/>
      <x:c r="H18" s="2"/>
      <x:c r="I18" s="2"/>
      <x:c r="J18" s="2" t="str">
        <x:v>修改Excel不会重新训练Python模型。</x:v>
      </x:c>
    </x:row>
    <x:row r="19" ht="31" customHeight="1">
      <x:c r="B19" s="2" t="str">
        <x:v>ROC AUC</x:v>
      </x:c>
      <x:c r="C19" s="26" t="n">
        <x:f>C14-C13</x:f>
        <x:v>0.06663521023382624</x:v>
      </x:c>
      <x:c r="D19" s="26" t="n">
        <x:v>-0.04988594782321421</x:v>
      </x:c>
      <x:c r="E19" s="26" t="n">
        <x:v>0.17022191032641829</x:v>
      </x:c>
      <x:c r="F19" s="2" t="str">
        <x:f>IF(AND(D19&lt;=0,E19&gt;=0),"区间跨0","区间未跨0")</x:f>
        <x:v>区间跨0</x:v>
      </x:c>
      <x:c r="G19" s="2"/>
      <x:c r="H19" s="2"/>
      <x:c r="I19" s="2"/>
      <x:c r="J19" s="2"/>
    </x:row>
    <x:row r="20" ht="31" customHeight="1">
      <x:c r="B20" s="2" t="str">
        <x:v>Brier</x:v>
      </x:c>
      <x:c r="C20" s="26" t="n">
        <x:f>F14-F13</x:f>
        <x:v>-0.009293325157686327</x:v>
      </x:c>
      <x:c r="D20" s="26" t="n">
        <x:v>-0.023804082971552416</x:v>
      </x:c>
      <x:c r="E20" s="26" t="n">
        <x:v>0.004927597315638962</x:v>
      </x:c>
      <x:c r="F20" s="2" t="str">
        <x:f>IF(AND(D20&lt;=0,E20&gt;=0),"区间跨0","区间未跨0")</x:f>
        <x:v>区间跨0</x:v>
      </x:c>
      <x:c r="G20" s="2"/>
      <x:c r="H20" s="2"/>
      <x:c r="I20" s="2"/>
      <x:c r="J20" s="2"/>
    </x:row>
    <x:row r="21" ht="31" customHeight="1"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31" customHeight="1"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58" customHeight="1">
      <x:c r="B23" s="25" t="str">
        <x:v>固定阈值混淆计数</x:v>
      </x:c>
      <x:c r="C23" s="25" t="str">
        <x:v>正确治疗改变TN</x:v>
      </x:c>
      <x:c r="D23" s="25" t="str">
        <x:v>改变误判肿瘤FP</x:v>
      </x:c>
      <x:c r="E23" s="25" t="str">
        <x:v>肿瘤漏判FN</x:v>
      </x:c>
      <x:c r="F23" s="25" t="str">
        <x:v>正确肿瘤TP</x:v>
      </x:c>
      <x:c r="G23" s="2"/>
      <x:c r="H23" s="2"/>
      <x:c r="I23" s="2"/>
      <x:c r="J23" s="25" t="str">
        <x:v>下一步需批准</x:v>
      </x:c>
    </x:row>
    <x:row r="24" ht="31" customHeight="1">
      <x:c r="B24" s="2" t="str">
        <x:v>M0</x:v>
      </x:c>
      <x:c r="C24" s="5" t="n">
        <x:f>COUNTIFS(OOF!F2:F239,0,OOF!R2:R239,0)</x:f>
        <x:v>0</x:v>
      </x:c>
      <x:c r="D24" s="5" t="n">
        <x:f>COUNTIFS(OOF!F2:F239,0,OOF!R2:R239,1)</x:f>
        <x:v>51</x:v>
      </x:c>
      <x:c r="E24" s="5" t="n">
        <x:f>COUNTIFS(OOF!F2:F239,1,OOF!R2:R239,0)</x:f>
        <x:v>0</x:v>
      </x:c>
      <x:c r="F24" s="5" t="n">
        <x:f>COUNTIFS(OOF!F2:F239,1,OOF!R2:R239,1)</x:f>
        <x:v>187</x:v>
      </x:c>
      <x:c r="G24" s="2"/>
      <x:c r="H24" s="2"/>
      <x:c r="I24" s="2"/>
      <x:c r="J24" s="2" t="str">
        <x:v>两例实际FLAIR仍未取得，像素质控为0。</x:v>
      </x:c>
    </x:row>
    <x:row r="25" ht="31" customHeight="1">
      <x:c r="B25" s="2" t="str">
        <x:v>M1</x:v>
      </x:c>
      <x:c r="C25" s="5" t="n">
        <x:f>COUNTIFS(OOF!F2:F239,0,OOF!T2:T239,0)</x:f>
        <x:v>5</x:v>
      </x:c>
      <x:c r="D25" s="5" t="n">
        <x:f>COUNTIFS(OOF!F2:F239,0,OOF!T2:T239,1)</x:f>
        <x:v>46</x:v>
      </x:c>
      <x:c r="E25" s="5" t="n">
        <x:f>COUNTIFS(OOF!F2:F239,1,OOF!T2:T239,0)</x:f>
        <x:v>4</x:v>
      </x:c>
      <x:c r="F25" s="5" t="n">
        <x:f>COUNTIFS(OOF!F2:F239,1,OOF!T2:T239,1)</x:f>
        <x:v>183</x:v>
      </x:c>
      <x:c r="G25" s="2"/>
      <x:c r="H25" s="2"/>
      <x:c r="I25" s="2"/>
      <x:c r="J25" s="2" t="str">
        <x:v>优先通过官方Aspera获取两例样本。</x:v>
      </x:c>
    </x:row>
    <x:row r="26" ht="31" customHeight="1">
      <x:c r="B26" s="2"/>
      <x:c r="C26" s="2"/>
      <x:c r="D26" s="2"/>
      <x:c r="E26" s="2"/>
      <x:c r="F26" s="2"/>
      <x:c r="G26" s="2"/>
      <x:c r="H26" s="2"/>
      <x:c r="I26" s="2"/>
      <x:c r="J26" s="2" t="str">
        <x:v>统一ROI不得用TCT/ECT/NECT参考掩膜。</x:v>
      </x:c>
    </x:row>
    <x:row r="27" ht="31" customHeight="1">
      <x:c r="B27" s="2"/>
      <x:c r="C27" s="2"/>
      <x:c r="D27" s="2"/>
      <x:c r="E27" s="2"/>
      <x:c r="F27" s="2"/>
      <x:c r="G27" s="2"/>
      <x:c r="H27" s="2"/>
      <x:c r="I27" s="2"/>
      <x:c r="J27" s="2" t="str">
        <x:v>MRI比较须在共同病例上重跑临床对照。</x:v>
      </x:c>
    </x:row>
    <x:row r="28" ht="58" customHeight="1">
      <x:c r="B28" s="25" t="str">
        <x:v>次要完整间隔分析</x:v>
      </x:c>
      <x:c r="C28" s="25" t="str">
        <x:v>扫描数</x:v>
      </x:c>
      <x:c r="D28" s="25" t="str">
        <x:v>源患者数</x:v>
      </x:c>
      <x:c r="E28" s="25" t="str">
        <x:v>AUC</x:v>
      </x:c>
      <x:c r="F28" s="2"/>
      <x:c r="G28" s="2"/>
      <x:c r="H28" s="2"/>
      <x:c r="I28" s="2"/>
      <x:c r="J28" s="2" t="str">
        <x:v>本步结束，等待用户批准下一阶段。</x:v>
      </x:c>
    </x:row>
    <x:row r="29" ht="31" customHeight="1">
      <x:c r="B29" s="2" t="str">
        <x:v>M0</x:v>
      </x:c>
      <x:c r="C29" s="2" t="n">
        <x:v>192</x:v>
      </x:c>
      <x:c r="D29" s="2" t="n">
        <x:v>142</x:v>
      </x:c>
      <x:c r="E29" s="26" t="n">
        <x:v>0.521129860601614</x:v>
      </x:c>
      <x:c r="F29" s="2"/>
      <x:c r="G29" s="2"/>
      <x:c r="H29" s="2"/>
      <x:c r="I29" s="2"/>
      <x:c r="J29" s="2"/>
    </x:row>
    <x:row r="30" ht="31" customHeight="1">
      <x:c r="B30" s="2" t="str">
        <x:v>M1</x:v>
      </x:c>
      <x:c r="C30" s="2" t="n">
        <x:v>192</x:v>
      </x:c>
      <x:c r="D30" s="2" t="n">
        <x:v>142</x:v>
      </x:c>
      <x:c r="E30" s="26" t="n">
        <x:v>0.6225972120322817</x:v>
      </x:c>
      <x:c r="F30" s="2"/>
      <x:c r="G30" s="2"/>
      <x:c r="H30" s="2"/>
      <x:c r="I30" s="2"/>
      <x:c r="J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64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6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</x:cols>
  <x:sheetData>
    <x:row r="1" ht="58" customHeight="1">
      <x:c r="A1" s="18" t="str">
        <x:v>ID</x:v>
      </x:c>
      <x:c r="B1" s="18" t="str">
        <x:v>patient_id</x:v>
      </x:c>
      <x:c r="C1" s="18" t="str">
        <x:v>BraTS ID</x:v>
      </x:c>
      <x:c r="D1" s="18" t="str">
        <x:v>brats_patient_id</x:v>
      </x:c>
      <x:c r="E1" s="18" t="str">
        <x:v>validation_group</x:v>
      </x:c>
      <x:c r="F1" s="19" t="str">
        <x:v>tumor_label</x:v>
      </x:c>
      <x:c r="G1" s="18" t="str">
        <x:v>label_source</x:v>
      </x:c>
      <x:c r="H1" s="19" t="str">
        <x:v>age_years</x:v>
      </x:c>
      <x:c r="I1" s="19" t="str">
        <x:v>sex_male</x:v>
      </x:c>
      <x:c r="J1" s="19" t="str">
        <x:v>other_treatment_prior</x:v>
      </x:c>
      <x:c r="K1" s="18" t="str">
        <x:v>initial_event_offset_raw</x:v>
      </x:c>
      <x:c r="L1" s="19" t="str">
        <x:v>days_since_initial_event</x:v>
      </x:c>
      <x:c r="M1" s="19" t="str">
        <x:v>log_initial_event_days</x:v>
      </x:c>
      <x:c r="N1" s="19" t="str">
        <x:v>initial_event_missing</x:v>
      </x:c>
      <x:c r="O1" s="18" t="str">
        <x:v>primary_diagnosis_raw</x:v>
      </x:c>
      <x:c r="P1" s="19" t="str">
        <x:v>validation_fold</x:v>
      </x:c>
      <x:c r="Q1" s="20" t="str">
        <x:v>M0_oof_probability</x:v>
      </x:c>
      <x:c r="R1" s="19" t="str">
        <x:v>M0_prediction_0_5</x:v>
      </x:c>
      <x:c r="S1" s="20" t="str">
        <x:v>M1_oof_probability</x:v>
      </x:c>
      <x:c r="T1" s="19" t="str">
        <x:v>M1_prediction_0_5</x:v>
      </x:c>
      <x:c r="U1" s="20" t="str">
        <x:v>prior_oof_probability</x:v>
      </x:c>
      <x:c r="V1" s="19" t="str">
        <x:v>prior_prediction_0_5</x:v>
      </x:c>
      <x:c r="W1" s="20" t="str">
        <x:v>M0_squared_error</x:v>
      </x:c>
      <x:c r="X1" s="20" t="str">
        <x:v>M1_squared_error</x:v>
      </x:c>
      <x:c r="Y1" s="20" t="str">
        <x:v>prior_squared_error</x:v>
      </x:c>
    </x:row>
    <x:row r="2" ht="28" customHeight="1">
      <x:c r="A2" s="4" t="str">
        <x:v>UCSD-PTGBM-0001_01</x:v>
      </x:c>
      <x:c r="B2" s="4" t="str">
        <x:v>UCSD-PTGBM-0001</x:v>
      </x:c>
      <x:c r="C2" s="4" t="str">
        <x:v>BraTS-GLI-02250-100</x:v>
      </x:c>
      <x:c r="D2" s="4" t="str">
        <x:v>BraTS-GLI-02250</x:v>
      </x:c>
      <x:c r="E2" s="4" t="str">
        <x:v>dualid:UCSD-PTGBM-0001</x:v>
      </x:c>
      <x:c r="F2" s="6" t="n">
        <x:v>0</x:v>
      </x:c>
      <x:c r="G2" s="4" t="str">
        <x:v>explicit_negative_case_list</x:v>
      </x:c>
      <x:c r="H2" s="6" t="n">
        <x:v>20</x:v>
      </x:c>
      <x:c r="I2" s="6" t="n">
        <x:v>1</x:v>
      </x:c>
      <x:c r="J2" s="6" t="n">
        <x:v>1</x:v>
      </x:c>
      <x:c r="K2" s="4" t="str">
        <x:v>-647</x:v>
      </x:c>
      <x:c r="L2" s="6" t="n">
        <x:v>647</x:v>
      </x:c>
      <x:c r="M2" s="6" t="n">
        <x:v>6.4738906963</x:v>
      </x:c>
      <x:c r="N2" s="6" t="n">
        <x:v>0</x:v>
      </x:c>
      <x:c r="O2" s="4" t="str">
        <x:v>Glioblastoma</x:v>
      </x:c>
      <x:c r="P2" s="6" t="n">
        <x:v>2</x:v>
      </x:c>
      <x:c r="Q2" s="8" t="n">
        <x:v>0.6212637329</x:v>
      </x:c>
      <x:c r="R2" s="6" t="n">
        <x:f>IF(Q2&gt;=Scope!$B$9,1,0)</x:f>
        <x:v>1</x:v>
      </x:c>
      <x:c r="S2" s="8" t="n">
        <x:v>0.6296840463</x:v>
      </x:c>
      <x:c r="T2" s="6" t="n">
        <x:f>IF(S2&gt;=Scope!$B$9,1,0)</x:f>
        <x:v>1</x:v>
      </x:c>
      <x:c r="U2" s="8" t="n">
        <x:v>0.7883597884</x:v>
      </x:c>
      <x:c r="V2" s="6" t="n">
        <x:f>IF(U2&gt;=Scope!$B$9,1,0)</x:f>
        <x:v>1</x:v>
      </x:c>
      <x:c r="W2" s="8" t="n">
        <x:f>(F2-Q2)^2</x:f>
        <x:v>0.3859686258168426</x:v>
      </x:c>
      <x:c r="X2" s="8" t="n">
        <x:f>(F2-S2)^2</x:f>
        <x:v>0.3965019981647405</x:v>
      </x:c>
      <x:c r="Y2" s="8" t="n">
        <x:f>(F2-U2)^2</x:f>
        <x:v>0.6215111559660927</x:v>
      </x:c>
    </x:row>
    <x:row r="3" ht="28" customHeight="1">
      <x:c r="A3" s="4" t="str">
        <x:v>UCSD-PTGBM-0002_01</x:v>
      </x:c>
      <x:c r="B3" s="4" t="str">
        <x:v>UCSD-PTGBM-0002</x:v>
      </x:c>
      <x:c r="C3" s="4" t="str">
        <x:v>BraTS-GLI-02251-100</x:v>
      </x:c>
      <x:c r="D3" s="4" t="str">
        <x:v>BraTS-GLI-02251</x:v>
      </x:c>
      <x:c r="E3" s="4" t="str">
        <x:v>dualid:UCSD-PTGBM-0002</x:v>
      </x:c>
      <x:c r="F3" s="6" t="n">
        <x:v>0</x:v>
      </x:c>
      <x:c r="G3" s="4" t="str">
        <x:v>explicit_negative_case_list</x:v>
      </x:c>
      <x:c r="H3" s="6" t="n">
        <x:v>59</x:v>
      </x:c>
      <x:c r="I3" s="6" t="n">
        <x:v>0</x:v>
      </x:c>
      <x:c r="J3" s="6" t="n">
        <x:v>0</x:v>
      </x:c>
      <x:c r="K3" s="4" t="str">
        <x:v>-196</x:v>
      </x:c>
      <x:c r="L3" s="6" t="n">
        <x:v>196</x:v>
      </x:c>
      <x:c r="M3" s="6" t="n">
        <x:v>5.2832037287</x:v>
      </x:c>
      <x:c r="N3" s="6" t="n">
        <x:v>0</x:v>
      </x:c>
      <x:c r="O3" s="4" t="str">
        <x:v>Glioblastoma</x:v>
      </x:c>
      <x:c r="P3" s="6" t="n">
        <x:v>2</x:v>
      </x:c>
      <x:c r="Q3" s="8" t="n">
        <x:v>0.7698150648</x:v>
      </x:c>
      <x:c r="R3" s="6" t="n">
        <x:f>IF(Q3&gt;=Scope!$B$9,1,0)</x:f>
        <x:v>1</x:v>
      </x:c>
      <x:c r="S3" s="8" t="n">
        <x:v>0.723776069</x:v>
      </x:c>
      <x:c r="T3" s="6" t="n">
        <x:f>IF(S3&gt;=Scope!$B$9,1,0)</x:f>
        <x:v>1</x:v>
      </x:c>
      <x:c r="U3" s="8" t="n">
        <x:v>0.7883597884</x:v>
      </x:c>
      <x:c r="V3" s="6" t="n">
        <x:f>IF(U3&gt;=Scope!$B$9,1,0)</x:f>
        <x:v>1</x:v>
      </x:c>
      <x:c r="W3" s="8" t="n">
        <x:f>(F3-Q3)^2</x:f>
        <x:v>0.5926152339930281</x:v>
      </x:c>
      <x:c r="X3" s="8" t="n">
        <x:f>(F3-S3)^2</x:f>
        <x:v>0.5238517980570928</x:v>
      </x:c>
      <x:c r="Y3" s="8" t="n">
        <x:f>(F3-U3)^2</x:f>
        <x:v>0.6215111559660927</x:v>
      </x:c>
    </x:row>
    <x:row r="4" ht="28" customHeight="1">
      <x:c r="A4" s="4" t="str">
        <x:v>UCSD-PTGBM-0003_01</x:v>
      </x:c>
      <x:c r="B4" s="4" t="str">
        <x:v>UCSD-PTGBM-0003</x:v>
      </x:c>
      <x:c r="C4" s="4" t="str">
        <x:v>BraTS-GLI-02252-100</x:v>
      </x:c>
      <x:c r="D4" s="4" t="str">
        <x:v>BraTS-GLI-02252</x:v>
      </x:c>
      <x:c r="E4" s="4" t="str">
        <x:v>dualid:UCSD-PTGBM-0003</x:v>
      </x:c>
      <x:c r="F4" s="6" t="n">
        <x:v>1</x:v>
      </x:c>
      <x:c r="G4" s="4" t="str">
        <x:v>derived_from_published_243_equals_192_plus_51_partition</x:v>
      </x:c>
      <x:c r="H4" s="6" t="n">
        <x:v>54</x:v>
      </x:c>
      <x:c r="I4" s="6" t="n">
        <x:v>0</x:v>
      </x:c>
      <x:c r="J4" s="6" t="n">
        <x:v>0</x:v>
      </x:c>
      <x:c r="K4" s="4" t="str">
        <x:v>-117</x:v>
      </x:c>
      <x:c r="L4" s="6" t="n">
        <x:v>117</x:v>
      </x:c>
      <x:c r="M4" s="6" t="n">
        <x:v>4.7706846245</x:v>
      </x:c>
      <x:c r="N4" s="6" t="n">
        <x:v>0</x:v>
      </x:c>
      <x:c r="O4" s="4" t="str">
        <x:v>Glioblastoma</x:v>
      </x:c>
      <x:c r="P4" s="6" t="n">
        <x:v>4</x:v>
      </x:c>
      <x:c r="Q4" s="8" t="n">
        <x:v>0.711824659</x:v>
      </x:c>
      <x:c r="R4" s="6" t="n">
        <x:f>IF(Q4&gt;=Scope!$B$9,1,0)</x:f>
        <x:v>1</x:v>
      </x:c>
      <x:c r="S4" s="8" t="n">
        <x:v>0.7467445829</x:v>
      </x:c>
      <x:c r="T4" s="6" t="n">
        <x:f>IF(S4&gt;=Scope!$B$9,1,0)</x:f>
        <x:v>1</x:v>
      </x:c>
      <x:c r="U4" s="8" t="n">
        <x:v>0.7853403141</x:v>
      </x:c>
      <x:c r="V4" s="6" t="n">
        <x:f>IF(U4&gt;=Scope!$B$9,1,0)</x:f>
        <x:v>1</x:v>
      </x:c>
      <x:c r="W4" s="8" t="n">
        <x:f>(F4-Q4)^2</x:f>
        <x:v>0.08304502716046627</x:v>
      </x:c>
      <x:c r="X4" s="8" t="n">
        <x:f>(F4-S4)^2</x:f>
        <x:v>0.06413830629049497</x:v>
      </x:c>
      <x:c r="Y4" s="8" t="n">
        <x:f>(F4-U4)^2</x:f>
        <x:v>0.04607878075068664</x:v>
      </x:c>
    </x:row>
    <x:row r="5" ht="28" customHeight="1">
      <x:c r="A5" s="4" t="str">
        <x:v>UCSD-PTGBM-0004_01</x:v>
      </x:c>
      <x:c r="B5" s="4" t="str">
        <x:v>UCSD-PTGBM-0004</x:v>
      </x:c>
      <x:c r="C5" s="4" t="str">
        <x:v>BraTS-GLI-02253-100</x:v>
      </x:c>
      <x:c r="D5" s="4" t="str">
        <x:v>BraTS-GLI-02253</x:v>
      </x:c>
      <x:c r="E5" s="4" t="str">
        <x:v>dualid:UCSD-PTGBM-0004</x:v>
      </x:c>
      <x:c r="F5" s="6" t="n">
        <x:v>1</x:v>
      </x:c>
      <x:c r="G5" s="4" t="str">
        <x:v>derived_from_published_243_equals_192_plus_51_partition</x:v>
      </x:c>
      <x:c r="H5" s="6" t="n">
        <x:v>45</x:v>
      </x:c>
      <x:c r="I5" s="6" t="n">
        <x:v>0</x:v>
      </x:c>
      <x:c r="J5" s="6" t="n">
        <x:v>0</x:v>
      </x:c>
      <x:c r="K5" s="4" t="str">
        <x:v>-25</x:v>
      </x:c>
      <x:c r="L5" s="6" t="n">
        <x:v>25</x:v>
      </x:c>
      <x:c r="M5" s="6" t="n">
        <x:v>3.258096538</x:v>
      </x:c>
      <x:c r="N5" s="6" t="n">
        <x:v>0</x:v>
      </x:c>
      <x:c r="O5" s="4" t="str">
        <x:v>Glioblastoma</x:v>
      </x:c>
      <x:c r="P5" s="6" t="n">
        <x:v>3</x:v>
      </x:c>
      <x:c r="Q5" s="8" t="n">
        <x:v>0.6928738268</x:v>
      </x:c>
      <x:c r="R5" s="6" t="n">
        <x:f>IF(Q5&gt;=Scope!$B$9,1,0)</x:f>
        <x:v>1</x:v>
      </x:c>
      <x:c r="S5" s="8" t="n">
        <x:v>0.8441053657</x:v>
      </x:c>
      <x:c r="T5" s="6" t="n">
        <x:f>IF(S5&gt;=Scope!$B$9,1,0)</x:f>
        <x:v>1</x:v>
      </x:c>
      <x:c r="U5" s="8" t="n">
        <x:v>0.7853403141</x:v>
      </x:c>
      <x:c r="V5" s="6" t="n">
        <x:f>IF(U5&gt;=Scope!$B$9,1,0)</x:f>
        <x:v>1</x:v>
      </x:c>
      <x:c r="W5" s="8" t="n">
        <x:f>(F5-Q5)^2</x:f>
        <x:v>0.09432648626447641</x:v>
      </x:c>
      <x:c r="X5" s="8" t="n">
        <x:f>(F5-S5)^2</x:f>
        <x:v>0.02430313700353072</x:v>
      </x:c>
      <x:c r="Y5" s="8" t="n">
        <x:f>(F5-U5)^2</x:f>
        <x:v>0.04607878075068664</x:v>
      </x:c>
    </x:row>
    <x:row r="6" ht="28" customHeight="1">
      <x:c r="A6" s="4" t="str">
        <x:v>UCSD-PTGBM-0004_02</x:v>
      </x:c>
      <x:c r="B6" s="4" t="str">
        <x:v>UCSD-PTGBM-0004</x:v>
      </x:c>
      <x:c r="C6" s="4" t="str">
        <x:v>BraTS-GLI-02253-101</x:v>
      </x:c>
      <x:c r="D6" s="4" t="str">
        <x:v>BraTS-GLI-02253</x:v>
      </x:c>
      <x:c r="E6" s="4" t="str">
        <x:v>dualid:UCSD-PTGBM-0004</x:v>
      </x:c>
      <x:c r="F6" s="6" t="n">
        <x:v>0</x:v>
      </x:c>
      <x:c r="G6" s="4" t="str">
        <x:v>explicit_negative_case_list</x:v>
      </x:c>
      <x:c r="H6" s="6" t="n">
        <x:v>45</x:v>
      </x:c>
      <x:c r="I6" s="6" t="n">
        <x:v>0</x:v>
      </x:c>
      <x:c r="J6" s="6" t="n">
        <x:v>0</x:v>
      </x:c>
      <x:c r="K6" s="4" t="str">
        <x:v>-803</x:v>
      </x:c>
      <x:c r="L6" s="6" t="n">
        <x:v>803</x:v>
      </x:c>
      <x:c r="M6" s="6" t="n">
        <x:v>6.6895992692</x:v>
      </x:c>
      <x:c r="N6" s="6" t="n">
        <x:v>0</x:v>
      </x:c>
      <x:c r="O6" s="4" t="str">
        <x:v>Glioblastoma</x:v>
      </x:c>
      <x:c r="P6" s="6" t="n">
        <x:v>3</x:v>
      </x:c>
      <x:c r="Q6" s="8" t="n">
        <x:v>0.6928738268</x:v>
      </x:c>
      <x:c r="R6" s="6" t="n">
        <x:f>IF(Q6&gt;=Scope!$B$9,1,0)</x:f>
        <x:v>1</x:v>
      </x:c>
      <x:c r="S6" s="8" t="n">
        <x:v>0.4792835974</x:v>
      </x:c>
      <x:c r="T6" s="6" t="n">
        <x:f>IF(S6&gt;=Scope!$B$9,1,0)</x:f>
        <x:v>0</x:v>
      </x:c>
      <x:c r="U6" s="8" t="n">
        <x:v>0.7853403141</x:v>
      </x:c>
      <x:c r="V6" s="6" t="n">
        <x:f>IF(U6&gt;=Scope!$B$9,1,0)</x:f>
        <x:v>1</x:v>
      </x:c>
      <x:c r="W6" s="8" t="n">
        <x:f>(F6-Q6)^2</x:f>
        <x:v>0.4800741398644764</x:v>
      </x:c>
      <x:c r="X6" s="8" t="n">
        <x:f>(F6-S6)^2</x:f>
        <x:v>0.22971276673668528</x:v>
      </x:c>
      <x:c r="Y6" s="8" t="n">
        <x:f>(F6-U6)^2</x:f>
        <x:v>0.6167594089506867</x:v>
      </x:c>
    </x:row>
    <x:row r="7" ht="28" customHeight="1">
      <x:c r="A7" s="4" t="str">
        <x:v>UCSD-PTGBM-0005_01</x:v>
      </x:c>
      <x:c r="B7" s="4" t="str">
        <x:v>UCSD-PTGBM-0005</x:v>
      </x:c>
      <x:c r="C7" s="4" t="str">
        <x:v>BraTS-GLI-02254-100</x:v>
      </x:c>
      <x:c r="D7" s="4" t="str">
        <x:v>BraTS-GLI-02254</x:v>
      </x:c>
      <x:c r="E7" s="4" t="str">
        <x:v>dualid:UCSD-PTGBM-0005</x:v>
      </x:c>
      <x:c r="F7" s="6" t="n">
        <x:v>1</x:v>
      </x:c>
      <x:c r="G7" s="4" t="str">
        <x:v>derived_from_published_243_equals_192_plus_51_partition</x:v>
      </x:c>
      <x:c r="H7" s="6" t="n">
        <x:v>55</x:v>
      </x:c>
      <x:c r="I7" s="6" t="n">
        <x:v>0</x:v>
      </x:c>
      <x:c r="J7" s="6" t="n">
        <x:v>0</x:v>
      </x:c>
      <x:c r="K7" s="4" t="str">
        <x:v>-29</x:v>
      </x:c>
      <x:c r="L7" s="6" t="n">
        <x:v>29</x:v>
      </x:c>
      <x:c r="M7" s="6" t="n">
        <x:v>3.4011973817</x:v>
      </x:c>
      <x:c r="N7" s="6" t="n">
        <x:v>0</x:v>
      </x:c>
      <x:c r="O7" s="4" t="str">
        <x:v>Glioblastoma</x:v>
      </x:c>
      <x:c r="P7" s="6" t="n">
        <x:v>5</x:v>
      </x:c>
      <x:c r="Q7" s="8" t="n">
        <x:v>0.7430654797</x:v>
      </x:c>
      <x:c r="R7" s="6" t="n">
        <x:f>IF(Q7&gt;=Scope!$B$9,1,0)</x:f>
        <x:v>1</x:v>
      </x:c>
      <x:c r="S7" s="8" t="n">
        <x:v>0.8559437941</x:v>
      </x:c>
      <x:c r="T7" s="6" t="n">
        <x:f>IF(S7&gt;=Scope!$B$9,1,0)</x:f>
        <x:v>1</x:v>
      </x:c>
      <x:c r="U7" s="8" t="n">
        <x:v>0.7853403141</x:v>
      </x:c>
      <x:c r="V7" s="6" t="n">
        <x:f>IF(U7&gt;=Scope!$B$9,1,0)</x:f>
        <x:v>1</x:v>
      </x:c>
      <x:c r="W7" s="8" t="n">
        <x:f>(F7-Q7)^2</x:f>
        <x:v>0.0660153477217911</x:v>
      </x:c>
      <x:c r="X7" s="8" t="n">
        <x:f>(F7-S7)^2</x:f>
        <x:v>0.020752190458303198</x:v>
      </x:c>
      <x:c r="Y7" s="8" t="n">
        <x:f>(F7-U7)^2</x:f>
        <x:v>0.04607878075068664</x:v>
      </x:c>
    </x:row>
    <x:row r="8" ht="28" customHeight="1">
      <x:c r="A8" s="4" t="str">
        <x:v>UCSD-PTGBM-0005_02</x:v>
      </x:c>
      <x:c r="B8" s="4" t="str">
        <x:v>UCSD-PTGBM-0005</x:v>
      </x:c>
      <x:c r="C8" s="4" t="str">
        <x:v>BraTS-GLI-02254-101</x:v>
      </x:c>
      <x:c r="D8" s="4" t="str">
        <x:v>BraTS-GLI-02254</x:v>
      </x:c>
      <x:c r="E8" s="4" t="str">
        <x:v>dualid:UCSD-PTGBM-0005</x:v>
      </x:c>
      <x:c r="F8" s="6" t="n">
        <x:v>0</x:v>
      </x:c>
      <x:c r="G8" s="4" t="str">
        <x:v>explicit_negative_case_list</x:v>
      </x:c>
      <x:c r="H8" s="6" t="n">
        <x:v>55</x:v>
      </x:c>
      <x:c r="I8" s="6" t="n">
        <x:v>0</x:v>
      </x:c>
      <x:c r="J8" s="6" t="n">
        <x:v>1</x:v>
      </x:c>
      <x:c r="K8" s="4" t="str">
        <x:v>-341</x:v>
      </x:c>
      <x:c r="L8" s="6" t="n">
        <x:v>341</x:v>
      </x:c>
      <x:c r="M8" s="6" t="n">
        <x:v>5.8348107371</x:v>
      </x:c>
      <x:c r="N8" s="6" t="n">
        <x:v>0</x:v>
      </x:c>
      <x:c r="O8" s="4" t="str">
        <x:v>Glioblastoma</x:v>
      </x:c>
      <x:c r="P8" s="6" t="n">
        <x:v>5</x:v>
      </x:c>
      <x:c r="Q8" s="8" t="n">
        <x:v>0.7430654797</x:v>
      </x:c>
      <x:c r="R8" s="6" t="n">
        <x:f>IF(Q8&gt;=Scope!$B$9,1,0)</x:f>
        <x:v>1</x:v>
      </x:c>
      <x:c r="S8" s="8" t="n">
        <x:v>0.8021170599</x:v>
      </x:c>
      <x:c r="T8" s="6" t="n">
        <x:f>IF(S8&gt;=Scope!$B$9,1,0)</x:f>
        <x:v>1</x:v>
      </x:c>
      <x:c r="U8" s="8" t="n">
        <x:v>0.7853403141</x:v>
      </x:c>
      <x:c r="V8" s="6" t="n">
        <x:f>IF(U8&gt;=Scope!$B$9,1,0)</x:f>
        <x:v>1</x:v>
      </x:c>
      <x:c r="W8" s="8" t="n">
        <x:f>(F8-Q8)^2</x:f>
        <x:v>0.5521463071217911</x:v>
      </x:c>
      <x:c r="X8" s="8" t="n">
        <x:f>(F8-S8)^2</x:f>
        <x:v>0.6433917777826202</x:v>
      </x:c>
      <x:c r="Y8" s="8" t="n">
        <x:f>(F8-U8)^2</x:f>
        <x:v>0.6167594089506867</x:v>
      </x:c>
    </x:row>
    <x:row r="9" ht="28" customHeight="1">
      <x:c r="A9" s="4" t="str">
        <x:v>UCSD-PTGBM-0006_01</x:v>
      </x:c>
      <x:c r="B9" s="4" t="str">
        <x:v>UCSD-PTGBM-0006</x:v>
      </x:c>
      <x:c r="C9" s="4" t="str">
        <x:v>BraTS-GLI-02255-100</x:v>
      </x:c>
      <x:c r="D9" s="4" t="str">
        <x:v>BraTS-GLI-02255</x:v>
      </x:c>
      <x:c r="E9" s="4" t="str">
        <x:v>dualid:UCSD-PTGBM-0006</x:v>
      </x:c>
      <x:c r="F9" s="6" t="n">
        <x:v>1</x:v>
      </x:c>
      <x:c r="G9" s="4" t="str">
        <x:v>derived_from_published_243_equals_192_plus_51_partition</x:v>
      </x:c>
      <x:c r="H9" s="6" t="n">
        <x:v>54</x:v>
      </x:c>
      <x:c r="I9" s="6" t="n">
        <x:v>1</x:v>
      </x:c>
      <x:c r="J9" s="6" t="n">
        <x:v>0</x:v>
      </x:c>
      <x:c r="K9" s="4" t="str">
        <x:v>-105</x:v>
      </x:c>
      <x:c r="L9" s="6" t="n">
        <x:v>105</x:v>
      </x:c>
      <x:c r="M9" s="6" t="n">
        <x:v>4.6634390941</x:v>
      </x:c>
      <x:c r="N9" s="6" t="n">
        <x:v>0</x:v>
      </x:c>
      <x:c r="O9" s="4" t="str">
        <x:v>Glioblastoma</x:v>
      </x:c>
      <x:c r="P9" s="6" t="n">
        <x:v>3</x:v>
      </x:c>
      <x:c r="Q9" s="8" t="n">
        <x:v>0.801496337</x:v>
      </x:c>
      <x:c r="R9" s="6" t="n">
        <x:f>IF(Q9&gt;=Scope!$B$9,1,0)</x:f>
        <x:v>1</x:v>
      </x:c>
      <x:c r="S9" s="8" t="n">
        <x:v>0.7813158283</x:v>
      </x:c>
      <x:c r="T9" s="6" t="n">
        <x:f>IF(S9&gt;=Scope!$B$9,1,0)</x:f>
        <x:v>1</x:v>
      </x:c>
      <x:c r="U9" s="8" t="n">
        <x:v>0.7853403141</x:v>
      </x:c>
      <x:c r="V9" s="6" t="n">
        <x:f>IF(U9&gt;=Scope!$B$9,1,0)</x:f>
        <x:v>1</x:v>
      </x:c>
      <x:c r="W9" s="8" t="n">
        <x:f>(F9-Q9)^2</x:f>
        <x:v>0.039403704224417566</x:v>
      </x:c>
      <x:c r="X9" s="8" t="n">
        <x:f>(F9-S9)^2</x:f>
        <x:v>0.04782276695211508</x:v>
      </x:c>
      <x:c r="Y9" s="8" t="n">
        <x:f>(F9-U9)^2</x:f>
        <x:v>0.04607878075068664</x:v>
      </x:c>
    </x:row>
    <x:row r="10" ht="28" customHeight="1">
      <x:c r="A10" s="4" t="str">
        <x:v>UCSD-PTGBM-0007_01</x:v>
      </x:c>
      <x:c r="B10" s="4" t="str">
        <x:v>UCSD-PTGBM-0007</x:v>
      </x:c>
      <x:c r="C10" s="4" t="str">
        <x:v>BraTS-GLI-02256-100</x:v>
      </x:c>
      <x:c r="D10" s="4" t="str">
        <x:v>BraTS-GLI-02256</x:v>
      </x:c>
      <x:c r="E10" s="4" t="str">
        <x:v>dualid:UCSD-PTGBM-0007</x:v>
      </x:c>
      <x:c r="F10" s="6" t="n">
        <x:v>1</x:v>
      </x:c>
      <x:c r="G10" s="4" t="str">
        <x:v>derived_from_published_243_equals_192_plus_51_partition</x:v>
      </x:c>
      <x:c r="H10" s="6" t="n">
        <x:v>61</x:v>
      </x:c>
      <x:c r="I10" s="6" t="n">
        <x:v>0</x:v>
      </x:c>
      <x:c r="J10" s="6" t="n">
        <x:v>0</x:v>
      </x:c>
      <x:c r="K10" s="4" t="str">
        <x:v>-25</x:v>
      </x:c>
      <x:c r="L10" s="6" t="n">
        <x:v>25</x:v>
      </x:c>
      <x:c r="M10" s="6" t="n">
        <x:v>3.258096538</x:v>
      </x:c>
      <x:c r="N10" s="6" t="n">
        <x:v>0</x:v>
      </x:c>
      <x:c r="O10" s="4" t="str">
        <x:v>Glioblastoma</x:v>
      </x:c>
      <x:c r="P10" s="6" t="n">
        <x:v>2</x:v>
      </x:c>
      <x:c r="Q10" s="8" t="n">
        <x:v>0.779254738</x:v>
      </x:c>
      <x:c r="R10" s="6" t="n">
        <x:f>IF(Q10&gt;=Scope!$B$9,1,0)</x:f>
        <x:v>1</x:v>
      </x:c>
      <x:c r="S10" s="8" t="n">
        <x:v>0.8542970301</x:v>
      </x:c>
      <x:c r="T10" s="6" t="n">
        <x:f>IF(S10&gt;=Scope!$B$9,1,0)</x:f>
        <x:v>1</x:v>
      </x:c>
      <x:c r="U10" s="8" t="n">
        <x:v>0.7883597884</x:v>
      </x:c>
      <x:c r="V10" s="6" t="n">
        <x:f>IF(U10&gt;=Scope!$B$9,1,0)</x:f>
        <x:v>1</x:v>
      </x:c>
      <x:c r="W10" s="8" t="n">
        <x:f>(F10-Q10)^2</x:f>
        <x:v>0.048728470695448646</x:v>
      </x:c>
      <x:c r="X10" s="8" t="n">
        <x:f>(F10-S10)^2</x:f>
        <x:v>0.0212293554376803</x:v>
      </x:c>
      <x:c r="Y10" s="8" t="n">
        <x:f>(F10-U10)^2</x:f>
        <x:v>0.04479157916609278</x:v>
      </x:c>
    </x:row>
    <x:row r="11" ht="28" customHeight="1">
      <x:c r="A11" s="4" t="str">
        <x:v>UCSD-PTGBM-0007_02</x:v>
      </x:c>
      <x:c r="B11" s="4" t="str">
        <x:v>UCSD-PTGBM-0007</x:v>
      </x:c>
      <x:c r="C11" s="4" t="str">
        <x:v>BraTS-GLI-02256-101</x:v>
      </x:c>
      <x:c r="D11" s="4" t="str">
        <x:v>BraTS-GLI-02256</x:v>
      </x:c>
      <x:c r="E11" s="4" t="str">
        <x:v>dualid:UCSD-PTGBM-0007</x:v>
      </x:c>
      <x:c r="F11" s="6" t="n">
        <x:v>1</x:v>
      </x:c>
      <x:c r="G11" s="4" t="str">
        <x:v>derived_from_published_243_equals_192_plus_51_partition</x:v>
      </x:c>
      <x:c r="H11" s="6" t="n">
        <x:v>61</x:v>
      </x:c>
      <x:c r="I11" s="6" t="n">
        <x:v>0</x:v>
      </x:c>
      <x:c r="J11" s="6" t="n">
        <x:v>0</x:v>
      </x:c>
      <x:c r="K11" s="4" t="str">
        <x:v>-108</x:v>
      </x:c>
      <x:c r="L11" s="6" t="n">
        <x:v>108</x:v>
      </x:c>
      <x:c r="M11" s="6" t="n">
        <x:v>4.6913478822</x:v>
      </x:c>
      <x:c r="N11" s="6" t="n">
        <x:v>0</x:v>
      </x:c>
      <x:c r="O11" s="4" t="str">
        <x:v>Glioblastoma</x:v>
      </x:c>
      <x:c r="P11" s="6" t="n">
        <x:v>2</x:v>
      </x:c>
      <x:c r="Q11" s="8" t="n">
        <x:v>0.779254738</x:v>
      </x:c>
      <x:c r="R11" s="6" t="n">
        <x:f>IF(Q11&gt;=Scope!$B$9,1,0)</x:f>
        <x:v>1</x:v>
      </x:c>
      <x:c r="S11" s="8" t="n">
        <x:v>0.7730119312</x:v>
      </x:c>
      <x:c r="T11" s="6" t="n">
        <x:f>IF(S11&gt;=Scope!$B$9,1,0)</x:f>
        <x:v>1</x:v>
      </x:c>
      <x:c r="U11" s="8" t="n">
        <x:v>0.7883597884</x:v>
      </x:c>
      <x:c r="V11" s="6" t="n">
        <x:f>IF(U11&gt;=Scope!$B$9,1,0)</x:f>
        <x:v>1</x:v>
      </x:c>
      <x:c r="W11" s="8" t="n">
        <x:f>(F11-Q11)^2</x:f>
        <x:v>0.048728470695448646</x:v>
      </x:c>
      <x:c r="X11" s="8" t="n">
        <x:f>(F11-S11)^2</x:f>
        <x:v>0.051523583377553535</x:v>
      </x:c>
      <x:c r="Y11" s="8" t="n">
        <x:f>(F11-U11)^2</x:f>
        <x:v>0.04479157916609278</x:v>
      </x:c>
    </x:row>
    <x:row r="12" ht="28" customHeight="1">
      <x:c r="A12" s="4" t="str">
        <x:v>UCSD-PTGBM-0008_01</x:v>
      </x:c>
      <x:c r="B12" s="4" t="str">
        <x:v>UCSD-PTGBM-0008</x:v>
      </x:c>
      <x:c r="C12" s="4" t="str">
        <x:v>BraTS-GLI-02257-100</x:v>
      </x:c>
      <x:c r="D12" s="4" t="str">
        <x:v>BraTS-GLI-02257</x:v>
      </x:c>
      <x:c r="E12" s="4" t="str">
        <x:v>dualid:UCSD-PTGBM-0008</x:v>
      </x:c>
      <x:c r="F12" s="6" t="n">
        <x:v>1</x:v>
      </x:c>
      <x:c r="G12" s="4" t="str">
        <x:v>derived_from_published_243_equals_192_plus_51_partition</x:v>
      </x:c>
      <x:c r="H12" s="6" t="n">
        <x:v>60</x:v>
      </x:c>
      <x:c r="I12" s="6" t="n">
        <x:v>1</x:v>
      </x:c>
      <x:c r="J12" s="6" t="n">
        <x:v>0</x:v>
      </x:c>
      <x:c r="K12" s="4" t="str">
        <x:v>-42</x:v>
      </x:c>
      <x:c r="L12" s="6" t="n">
        <x:v>42</x:v>
      </x:c>
      <x:c r="M12" s="6" t="n">
        <x:v>3.7612001157</x:v>
      </x:c>
      <x:c r="N12" s="6" t="n">
        <x:v>0</x:v>
      </x:c>
      <x:c r="O12" s="4" t="str">
        <x:v>Glioblastoma</x:v>
      </x:c>
      <x:c r="P12" s="6" t="n">
        <x:v>5</x:v>
      </x:c>
      <x:c r="Q12" s="8" t="n">
        <x:v>0.8349596909</x:v>
      </x:c>
      <x:c r="R12" s="6" t="n">
        <x:f>IF(Q12&gt;=Scope!$B$9,1,0)</x:f>
        <x:v>1</x:v>
      </x:c>
      <x:c r="S12" s="8" t="n">
        <x:v>0.8697275046</x:v>
      </x:c>
      <x:c r="T12" s="6" t="n">
        <x:f>IF(S12&gt;=Scope!$B$9,1,0)</x:f>
        <x:v>1</x:v>
      </x:c>
      <x:c r="U12" s="8" t="n">
        <x:v>0.7853403141</x:v>
      </x:c>
      <x:c r="V12" s="6" t="n">
        <x:f>IF(U12&gt;=Scope!$B$9,1,0)</x:f>
        <x:v>1</x:v>
      </x:c>
      <x:c r="W12" s="8" t="n">
        <x:f>(F12-Q12)^2</x:f>
        <x:v>0.027238303627823545</x:v>
      </x:c>
      <x:c r="X12" s="8" t="n">
        <x:f>(F12-S12)^2</x:f>
        <x:v>0.01697092305774301</x:v>
      </x:c>
      <x:c r="Y12" s="8" t="n">
        <x:f>(F12-U12)^2</x:f>
        <x:v>0.04607878075068664</x:v>
      </x:c>
    </x:row>
    <x:row r="13" ht="28" customHeight="1">
      <x:c r="A13" s="4" t="str">
        <x:v>UCSD-PTGBM-0008_02</x:v>
      </x:c>
      <x:c r="B13" s="4" t="str">
        <x:v>UCSD-PTGBM-0008</x:v>
      </x:c>
      <x:c r="C13" s="4" t="str">
        <x:v>BraTS-GLI-02257-101</x:v>
      </x:c>
      <x:c r="D13" s="4" t="str">
        <x:v>BraTS-GLI-02257</x:v>
      </x:c>
      <x:c r="E13" s="4" t="str">
        <x:v>dualid:UCSD-PTGBM-0008</x:v>
      </x:c>
      <x:c r="F13" s="6" t="n">
        <x:v>0</x:v>
      </x:c>
      <x:c r="G13" s="4" t="str">
        <x:v>explicit_negative_case_list</x:v>
      </x:c>
      <x:c r="H13" s="6" t="n">
        <x:v>60</x:v>
      </x:c>
      <x:c r="I13" s="6" t="n">
        <x:v>1</x:v>
      </x:c>
      <x:c r="J13" s="6" t="n">
        <x:v>0</x:v>
      </x:c>
      <x:c r="K13" s="4" t="str">
        <x:v>-95</x:v>
      </x:c>
      <x:c r="L13" s="6" t="n">
        <x:v>95</x:v>
      </x:c>
      <x:c r="M13" s="6" t="n">
        <x:v>4.5643481915</x:v>
      </x:c>
      <x:c r="N13" s="6" t="n">
        <x:v>0</x:v>
      </x:c>
      <x:c r="O13" s="4" t="str">
        <x:v>Glioblastoma</x:v>
      </x:c>
      <x:c r="P13" s="6" t="n">
        <x:v>5</x:v>
      </x:c>
      <x:c r="Q13" s="8" t="n">
        <x:v>0.8349596909</x:v>
      </x:c>
      <x:c r="R13" s="6" t="n">
        <x:f>IF(Q13&gt;=Scope!$B$9,1,0)</x:f>
        <x:v>1</x:v>
      </x:c>
      <x:c r="S13" s="8" t="n">
        <x:v>0.8186377585</x:v>
      </x:c>
      <x:c r="T13" s="6" t="n">
        <x:f>IF(S13&gt;=Scope!$B$9,1,0)</x:f>
        <x:v>1</x:v>
      </x:c>
      <x:c r="U13" s="8" t="n">
        <x:v>0.7853403141</x:v>
      </x:c>
      <x:c r="V13" s="6" t="n">
        <x:f>IF(U13&gt;=Scope!$B$9,1,0)</x:f>
        <x:v>1</x:v>
      </x:c>
      <x:c r="W13" s="8" t="n">
        <x:f>(F13-Q13)^2</x:f>
        <x:v>0.6971576854278235</x:v>
      </x:c>
      <x:c r="X13" s="8" t="n">
        <x:f>(F13-S13)^2</x:f>
        <x:v>0.6701677796419043</x:v>
      </x:c>
      <x:c r="Y13" s="8" t="n">
        <x:f>(F13-U13)^2</x:f>
        <x:v>0.6167594089506867</x:v>
      </x:c>
    </x:row>
    <x:row r="14" ht="28" customHeight="1">
      <x:c r="A14" s="4" t="str">
        <x:v>UCSD-PTGBM-0008_03</x:v>
      </x:c>
      <x:c r="B14" s="4" t="str">
        <x:v>UCSD-PTGBM-0008</x:v>
      </x:c>
      <x:c r="C14" s="4" t="str">
        <x:v>BraTS-GLI-02257-102</x:v>
      </x:c>
      <x:c r="D14" s="4" t="str">
        <x:v>BraTS-GLI-02257</x:v>
      </x:c>
      <x:c r="E14" s="4" t="str">
        <x:v>dualid:UCSD-PTGBM-0008</x:v>
      </x:c>
      <x:c r="F14" s="6" t="n">
        <x:v>0</x:v>
      </x:c>
      <x:c r="G14" s="4" t="str">
        <x:v>explicit_negative_case_list</x:v>
      </x:c>
      <x:c r="H14" s="6" t="n">
        <x:v>60</x:v>
      </x:c>
      <x:c r="I14" s="6" t="n">
        <x:v>1</x:v>
      </x:c>
      <x:c r="J14" s="6" t="n">
        <x:v>0</x:v>
      </x:c>
      <x:c r="K14" s="4" t="str">
        <x:v>-208</x:v>
      </x:c>
      <x:c r="L14" s="6" t="n">
        <x:v>208</x:v>
      </x:c>
      <x:c r="M14" s="6" t="n">
        <x:v>5.342334252</x:v>
      </x:c>
      <x:c r="N14" s="6" t="n">
        <x:v>0</x:v>
      </x:c>
      <x:c r="O14" s="4" t="str">
        <x:v>Glioblastoma</x:v>
      </x:c>
      <x:c r="P14" s="6" t="n">
        <x:v>5</x:v>
      </x:c>
      <x:c r="Q14" s="8" t="n">
        <x:v>0.8349596909</x:v>
      </x:c>
      <x:c r="R14" s="6" t="n">
        <x:f>IF(Q14&gt;=Scope!$B$9,1,0)</x:f>
        <x:v>1</x:v>
      </x:c>
      <x:c r="S14" s="8" t="n">
        <x:v>0.7554699002</x:v>
      </x:c>
      <x:c r="T14" s="6" t="n">
        <x:f>IF(S14&gt;=Scope!$B$9,1,0)</x:f>
        <x:v>1</x:v>
      </x:c>
      <x:c r="U14" s="8" t="n">
        <x:v>0.7853403141</x:v>
      </x:c>
      <x:c r="V14" s="6" t="n">
        <x:f>IF(U14&gt;=Scope!$B$9,1,0)</x:f>
        <x:v>1</x:v>
      </x:c>
      <x:c r="W14" s="8" t="n">
        <x:f>(F14-Q14)^2</x:f>
        <x:v>0.6971576854278235</x:v>
      </x:c>
      <x:c r="X14" s="8" t="n">
        <x:f>(F14-S14)^2</x:f>
        <x:v>0.5707347701081981</x:v>
      </x:c>
      <x:c r="Y14" s="8" t="n">
        <x:f>(F14-U14)^2</x:f>
        <x:v>0.6167594089506867</x:v>
      </x:c>
    </x:row>
    <x:row r="15" ht="28" customHeight="1">
      <x:c r="A15" s="4" t="str">
        <x:v>UCSD-PTGBM-0009_01</x:v>
      </x:c>
      <x:c r="B15" s="4" t="str">
        <x:v>UCSD-PTGBM-0009</x:v>
      </x:c>
      <x:c r="C15" s="4" t="str">
        <x:v>BraTS-GLI-02258-100</x:v>
      </x:c>
      <x:c r="D15" s="4" t="str">
        <x:v>BraTS-GLI-02258</x:v>
      </x:c>
      <x:c r="E15" s="4" t="str">
        <x:v>dualid:UCSD-PTGBM-0009</x:v>
      </x:c>
      <x:c r="F15" s="6" t="n">
        <x:v>1</x:v>
      </x:c>
      <x:c r="G15" s="4" t="str">
        <x:v>derived_from_published_243_equals_192_plus_51_partition</x:v>
      </x:c>
      <x:c r="H15" s="6" t="n">
        <x:v>61</x:v>
      </x:c>
      <x:c r="I15" s="6" t="n">
        <x:v>1</x:v>
      </x:c>
      <x:c r="J15" s="6" t="n">
        <x:v>0</x:v>
      </x:c>
      <x:c r="K15" s="4" t="str">
        <x:v>-26</x:v>
      </x:c>
      <x:c r="L15" s="6" t="n">
        <x:v>26</x:v>
      </x:c>
      <x:c r="M15" s="6" t="n">
        <x:v>3.295836866</x:v>
      </x:c>
      <x:c r="N15" s="6" t="n">
        <x:v>0</x:v>
      </x:c>
      <x:c r="O15" s="4" t="str">
        <x:v>Glioblastoma</x:v>
      </x:c>
      <x:c r="P15" s="6" t="n">
        <x:v>1</x:v>
      </x:c>
      <x:c r="Q15" s="8" t="n">
        <x:v>0.8397585897</x:v>
      </x:c>
      <x:c r="R15" s="6" t="n">
        <x:f>IF(Q15&gt;=Scope!$B$9,1,0)</x:f>
        <x:v>1</x:v>
      </x:c>
      <x:c r="S15" s="8" t="n">
        <x:v>0.878905849</x:v>
      </x:c>
      <x:c r="T15" s="6" t="n">
        <x:f>IF(S15&gt;=Scope!$B$9,1,0)</x:f>
        <x:v>1</x:v>
      </x:c>
      <x:c r="U15" s="8" t="n">
        <x:v>0.7842105263</x:v>
      </x:c>
      <x:c r="V15" s="6" t="n">
        <x:f>IF(U15&gt;=Scope!$B$9,1,0)</x:f>
        <x:v>1</x:v>
      </x:c>
      <x:c r="W15" s="8" t="n">
        <x:f>(F15-Q15)^2</x:f>
        <x:v>0.025677309574932965</x:v>
      </x:c>
      <x:c r="X15" s="8" t="n">
        <x:f>(F15-S15)^2</x:f>
        <x:v>0.014663793406410797</x:v>
      </x:c>
      <x:c r="Y15" s="8" t="n">
        <x:f>(F15-U15)^2</x:f>
        <x:v>0.046565096959722996</x:v>
      </x:c>
    </x:row>
    <x:row r="16" ht="28" customHeight="1">
      <x:c r="A16" s="4" t="str">
        <x:v>UCSD-PTGBM-0010_01</x:v>
      </x:c>
      <x:c r="B16" s="4" t="str">
        <x:v>UCSD-PTGBM-0010</x:v>
      </x:c>
      <x:c r="C16" s="4" t="str">
        <x:v>BraTS-GLI-02259-100</x:v>
      </x:c>
      <x:c r="D16" s="4" t="str">
        <x:v>BraTS-GLI-02259</x:v>
      </x:c>
      <x:c r="E16" s="4" t="str">
        <x:v>dualid:UCSD-PTGBM-0010</x:v>
      </x:c>
      <x:c r="F16" s="6" t="n">
        <x:v>0</x:v>
      </x:c>
      <x:c r="G16" s="4" t="str">
        <x:v>explicit_negative_case_list</x:v>
      </x:c>
      <x:c r="H16" s="6" t="n">
        <x:v>73</x:v>
      </x:c>
      <x:c r="I16" s="6" t="n">
        <x:v>1</x:v>
      </x:c>
      <x:c r="J16" s="6" t="n">
        <x:v>0</x:v>
      </x:c>
      <x:c r="K16" s="4" t="str">
        <x:v>-199</x:v>
      </x:c>
      <x:c r="L16" s="6" t="n">
        <x:v>199</x:v>
      </x:c>
      <x:c r="M16" s="6" t="n">
        <x:v>5.2983173666</x:v>
      </x:c>
      <x:c r="N16" s="6" t="n">
        <x:v>0</x:v>
      </x:c>
      <x:c r="O16" s="4" t="str">
        <x:v>Glioblastoma</x:v>
      </x:c>
      <x:c r="P16" s="6" t="n">
        <x:v>5</x:v>
      </x:c>
      <x:c r="Q16" s="8" t="n">
        <x:v>0.8848964804</x:v>
      </x:c>
      <x:c r="R16" s="6" t="n">
        <x:f>IF(Q16&gt;=Scope!$B$9,1,0)</x:f>
        <x:v>1</x:v>
      </x:c>
      <x:c r="S16" s="8" t="n">
        <x:v>0.8025358258</x:v>
      </x:c>
      <x:c r="T16" s="6" t="n">
        <x:f>IF(S16&gt;=Scope!$B$9,1,0)</x:f>
        <x:v>1</x:v>
      </x:c>
      <x:c r="U16" s="8" t="n">
        <x:v>0.7853403141</x:v>
      </x:c>
      <x:c r="V16" s="6" t="n">
        <x:f>IF(U16&gt;=Scope!$B$9,1,0)</x:f>
        <x:v>1</x:v>
      </x:c>
      <x:c r="W16" s="8" t="n">
        <x:f>(F16-Q16)^2</x:f>
        <x:v>0.7830417810243077</x:v>
      </x:c>
      <x:c r="X16" s="8" t="n">
        <x:f>(F16-S16)^2</x:f>
        <x:v>0.644063751692488</x:v>
      </x:c>
      <x:c r="Y16" s="8" t="n">
        <x:f>(F16-U16)^2</x:f>
        <x:v>0.6167594089506867</x:v>
      </x:c>
    </x:row>
    <x:row r="17" ht="28" customHeight="1">
      <x:c r="A17" s="4" t="str">
        <x:v>UCSD-PTGBM-0011_01</x:v>
      </x:c>
      <x:c r="B17" s="4" t="str">
        <x:v>UCSD-PTGBM-0011</x:v>
      </x:c>
      <x:c r="C17" s="4" t="str">
        <x:v>BraTS-GLI-02260-100</x:v>
      </x:c>
      <x:c r="D17" s="4" t="str">
        <x:v>BraTS-GLI-02260</x:v>
      </x:c>
      <x:c r="E17" s="4" t="str">
        <x:v>dualid:UCSD-PTGBM-0011</x:v>
      </x:c>
      <x:c r="F17" s="6" t="n">
        <x:v>0</x:v>
      </x:c>
      <x:c r="G17" s="4" t="str">
        <x:v>explicit_negative_case_list</x:v>
      </x:c>
      <x:c r="H17" s="6" t="n">
        <x:v>54</x:v>
      </x:c>
      <x:c r="I17" s="6" t="n">
        <x:v>0</x:v>
      </x:c>
      <x:c r="J17" s="6" t="n">
        <x:v>0</x:v>
      </x:c>
      <x:c r="K17" s="4" t="str">
        <x:v>-801</x:v>
      </x:c>
      <x:c r="L17" s="6" t="n">
        <x:v>801</x:v>
      </x:c>
      <x:c r="M17" s="6" t="n">
        <x:v>6.6871086079</x:v>
      </x:c>
      <x:c r="N17" s="6" t="n">
        <x:v>0</x:v>
      </x:c>
      <x:c r="O17" s="4" t="str">
        <x:v>Anaplastic Astrocytoma</x:v>
      </x:c>
      <x:c r="P17" s="6" t="n">
        <x:v>3</x:v>
      </x:c>
      <x:c r="Q17" s="8" t="n">
        <x:v>0.7422064737</x:v>
      </x:c>
      <x:c r="R17" s="6" t="n">
        <x:f>IF(Q17&gt;=Scope!$B$9,1,0)</x:f>
        <x:v>1</x:v>
      </x:c>
      <x:c r="S17" s="8" t="n">
        <x:v>0.5117679769</x:v>
      </x:c>
      <x:c r="T17" s="6" t="n">
        <x:f>IF(S17&gt;=Scope!$B$9,1,0)</x:f>
        <x:v>1</x:v>
      </x:c>
      <x:c r="U17" s="8" t="n">
        <x:v>0.7853403141</x:v>
      </x:c>
      <x:c r="V17" s="6" t="n">
        <x:f>IF(U17&gt;=Scope!$B$9,1,0)</x:f>
        <x:v>1</x:v>
      </x:c>
      <x:c r="W17" s="8" t="n">
        <x:f>(F17-Q17)^2</x:f>
        <x:v>0.5508704496021889</x:v>
      </x:c>
      <x:c r="X17" s="8" t="n">
        <x:f>(F17-S17)^2</x:f>
        <x:v>0.26190646218031893</x:v>
      </x:c>
      <x:c r="Y17" s="8" t="n">
        <x:f>(F17-U17)^2</x:f>
        <x:v>0.6167594089506867</x:v>
      </x:c>
    </x:row>
    <x:row r="18" ht="28" customHeight="1">
      <x:c r="A18" s="4" t="str">
        <x:v>UCSD-PTGBM-0012_01</x:v>
      </x:c>
      <x:c r="B18" s="4" t="str">
        <x:v>UCSD-PTGBM-0012</x:v>
      </x:c>
      <x:c r="C18" s="4" t="str">
        <x:v>BraTS-GLI-02261-100</x:v>
      </x:c>
      <x:c r="D18" s="4" t="str">
        <x:v>BraTS-GLI-02261</x:v>
      </x:c>
      <x:c r="E18" s="4" t="str">
        <x:v>dualid:UCSD-PTGBM-0012</x:v>
      </x:c>
      <x:c r="F18" s="6" t="n">
        <x:v>0</x:v>
      </x:c>
      <x:c r="G18" s="4" t="str">
        <x:v>explicit_negative_case_list</x:v>
      </x:c>
      <x:c r="H18" s="6" t="n">
        <x:v>55</x:v>
      </x:c>
      <x:c r="I18" s="6" t="n">
        <x:v>1</x:v>
      </x:c>
      <x:c r="J18" s="6" t="n">
        <x:v>0</x:v>
      </x:c>
      <x:c r="K18" s="4" t="str">
        <x:v>-1109</x:v>
      </x:c>
      <x:c r="L18" s="6" t="n">
        <x:v>1109</x:v>
      </x:c>
      <x:c r="M18" s="6" t="n">
        <x:v>7.0121152943</x:v>
      </x:c>
      <x:c r="N18" s="6" t="n">
        <x:v>0</x:v>
      </x:c>
      <x:c r="O18" s="4" t="str">
        <x:v>Glioblastoma</x:v>
      </x:c>
      <x:c r="P18" s="6" t="n">
        <x:v>1</x:v>
      </x:c>
      <x:c r="Q18" s="8" t="n">
        <x:v>0.8175601199</x:v>
      </x:c>
      <x:c r="R18" s="6" t="n">
        <x:f>IF(Q18&gt;=Scope!$B$9,1,0)</x:f>
        <x:v>1</x:v>
      </x:c>
      <x:c r="S18" s="8" t="n">
        <x:v>0.6062123356</x:v>
      </x:c>
      <x:c r="T18" s="6" t="n">
        <x:f>IF(S18&gt;=Scope!$B$9,1,0)</x:f>
        <x:v>1</x:v>
      </x:c>
      <x:c r="U18" s="8" t="n">
        <x:v>0.7842105263</x:v>
      </x:c>
      <x:c r="V18" s="6" t="n">
        <x:f>IF(U18&gt;=Scope!$B$9,1,0)</x:f>
        <x:v>1</x:v>
      </x:c>
      <x:c r="W18" s="8" t="n">
        <x:f>(F18-Q18)^2</x:f>
        <x:v>0.6684045496509023</x:v>
      </x:c>
      <x:c r="X18" s="8" t="n">
        <x:f>(F18-S18)^2</x:f>
        <x:v>0.367493395833607</x:v>
      </x:c>
      <x:c r="Y18" s="8" t="n">
        <x:f>(F18-U18)^2</x:f>
        <x:v>0.614986149559723</x:v>
      </x:c>
    </x:row>
    <x:row r="19" ht="28" customHeight="1">
      <x:c r="A19" s="4" t="str">
        <x:v>UCSD-PTGBM-0013_01</x:v>
      </x:c>
      <x:c r="B19" s="4" t="str">
        <x:v>UCSD-PTGBM-0013</x:v>
      </x:c>
      <x:c r="C19" s="4" t="str">
        <x:v>BraTS-GLI-02262-100</x:v>
      </x:c>
      <x:c r="D19" s="4" t="str">
        <x:v>BraTS-GLI-02262</x:v>
      </x:c>
      <x:c r="E19" s="4" t="str">
        <x:v>dualid:UCSD-PTGBM-0013</x:v>
      </x:c>
      <x:c r="F19" s="6" t="n">
        <x:v>1</x:v>
      </x:c>
      <x:c r="G19" s="4" t="str">
        <x:v>derived_from_published_243_equals_192_plus_51_partition</x:v>
      </x:c>
      <x:c r="H19" s="6" t="n">
        <x:v>60</x:v>
      </x:c>
      <x:c r="I19" s="6" t="n">
        <x:v>1</x:v>
      </x:c>
      <x:c r="J19" s="6" t="n">
        <x:v>1</x:v>
      </x:c>
      <x:c r="K19" s="4" t="str">
        <x:v>-173</x:v>
      </x:c>
      <x:c r="L19" s="6" t="n">
        <x:v>173</x:v>
      </x:c>
      <x:c r="M19" s="6" t="n">
        <x:v>5.1590552992</x:v>
      </x:c>
      <x:c r="N19" s="6" t="n">
        <x:v>0</x:v>
      </x:c>
      <x:c r="O19" s="4" t="str">
        <x:v>Glioblastoma</x:v>
      </x:c>
      <x:c r="P19" s="6" t="n">
        <x:v>3</x:v>
      </x:c>
      <x:c r="Q19" s="8" t="n">
        <x:v>0.826103389</x:v>
      </x:c>
      <x:c r="R19" s="6" t="n">
        <x:f>IF(Q19&gt;=Scope!$B$9,1,0)</x:f>
        <x:v>1</x:v>
      </x:c>
      <x:c r="S19" s="8" t="n">
        <x:v>0.8486089904</x:v>
      </x:c>
      <x:c r="T19" s="6" t="n">
        <x:f>IF(S19&gt;=Scope!$B$9,1,0)</x:f>
        <x:v>1</x:v>
      </x:c>
      <x:c r="U19" s="8" t="n">
        <x:v>0.7853403141</x:v>
      </x:c>
      <x:c r="V19" s="6" t="n">
        <x:f>IF(U19&gt;=Scope!$B$9,1,0)</x:f>
        <x:v>1</x:v>
      </x:c>
      <x:c r="W19" s="8" t="n">
        <x:f>(F19-Q19)^2</x:f>
        <x:v>0.030240031317285313</x:v>
      </x:c>
      <x:c r="X19" s="8" t="n">
        <x:f>(F19-S19)^2</x:f>
        <x:v>0.02291923778770728</x:v>
      </x:c>
      <x:c r="Y19" s="8" t="n">
        <x:f>(F19-U19)^2</x:f>
        <x:v>0.04607878075068664</x:v>
      </x:c>
    </x:row>
    <x:row r="20" ht="28" customHeight="1">
      <x:c r="A20" s="4" t="str">
        <x:v>UCSD-PTGBM-0014_01</x:v>
      </x:c>
      <x:c r="B20" s="4" t="str">
        <x:v>UCSD-PTGBM-0014</x:v>
      </x:c>
      <x:c r="C20" s="4" t="str">
        <x:v>BraTS-GLI-02263-100</x:v>
      </x:c>
      <x:c r="D20" s="4" t="str">
        <x:v>BraTS-GLI-02263</x:v>
      </x:c>
      <x:c r="E20" s="4" t="str">
        <x:v>dualid:UCSD-PTGBM-0014</x:v>
      </x:c>
      <x:c r="F20" s="6" t="n">
        <x:v>0</x:v>
      </x:c>
      <x:c r="G20" s="4" t="str">
        <x:v>explicit_negative_case_list</x:v>
      </x:c>
      <x:c r="H20" s="6" t="n">
        <x:v>50</x:v>
      </x:c>
      <x:c r="I20" s="6" t="n">
        <x:v>1</x:v>
      </x:c>
      <x:c r="J20" s="6" t="n">
        <x:v>0</x:v>
      </x:c>
      <x:c r="K20" s="4" t="str">
        <x:v>-272</x:v>
      </x:c>
      <x:c r="L20" s="6" t="n">
        <x:v>272</x:v>
      </x:c>
      <x:c r="M20" s="6" t="n">
        <x:v>5.6094717952</x:v>
      </x:c>
      <x:c r="N20" s="6" t="n">
        <x:v>0</x:v>
      </x:c>
      <x:c r="O20" s="4" t="str">
        <x:v>Glioblastoma</x:v>
      </x:c>
      <x:c r="P20" s="6" t="n">
        <x:v>2</x:v>
      </x:c>
      <x:c r="Q20" s="8" t="n">
        <x:v>0.7868155425</x:v>
      </x:c>
      <x:c r="R20" s="6" t="n">
        <x:f>IF(Q20&gt;=Scope!$B$9,1,0)</x:f>
        <x:v>1</x:v>
      </x:c>
      <x:c r="S20" s="8" t="n">
        <x:v>0.6979351334</x:v>
      </x:c>
      <x:c r="T20" s="6" t="n">
        <x:f>IF(S20&gt;=Scope!$B$9,1,0)</x:f>
        <x:v>1</x:v>
      </x:c>
      <x:c r="U20" s="8" t="n">
        <x:v>0.7883597884</x:v>
      </x:c>
      <x:c r="V20" s="6" t="n">
        <x:f>IF(U20&gt;=Scope!$B$9,1,0)</x:f>
        <x:v>1</x:v>
      </x:c>
      <x:c r="W20" s="8" t="n">
        <x:f>(F20-Q20)^2</x:f>
        <x:v>0.6190786979195693</x:v>
      </x:c>
      <x:c r="X20" s="8" t="n">
        <x:f>(F20-S20)^2</x:f>
        <x:v>0.48711345043407583</x:v>
      </x:c>
      <x:c r="Y20" s="8" t="n">
        <x:f>(F20-U20)^2</x:f>
        <x:v>0.6215111559660927</x:v>
      </x:c>
    </x:row>
    <x:row r="21" ht="28" customHeight="1">
      <x:c r="A21" s="4" t="str">
        <x:v>UCSD-PTGBM-0015_01</x:v>
      </x:c>
      <x:c r="B21" s="4" t="str">
        <x:v>UCSD-PTGBM-0015</x:v>
      </x:c>
      <x:c r="C21" s="4" t="str">
        <x:v>BraTS-GLI-02264-100</x:v>
      </x:c>
      <x:c r="D21" s="4" t="str">
        <x:v>BraTS-GLI-02264</x:v>
      </x:c>
      <x:c r="E21" s="4" t="str">
        <x:v>dualid:UCSD-PTGBM-0015</x:v>
      </x:c>
      <x:c r="F21" s="6" t="n">
        <x:v>0</x:v>
      </x:c>
      <x:c r="G21" s="4" t="str">
        <x:v>explicit_negative_case_list</x:v>
      </x:c>
      <x:c r="H21" s="6" t="n">
        <x:v>45</x:v>
      </x:c>
      <x:c r="I21" s="6" t="n">
        <x:v>0</x:v>
      </x:c>
      <x:c r="J21" s="6" t="n">
        <x:v>1</x:v>
      </x:c>
      <x:c r="K21" s="4" t="str">
        <x:v>-608</x:v>
      </x:c>
      <x:c r="L21" s="6" t="n">
        <x:v>608</x:v>
      </x:c>
      <x:c r="M21" s="6" t="n">
        <x:v>6.4118182677</x:v>
      </x:c>
      <x:c r="N21" s="6" t="n">
        <x:v>0</x:v>
      </x:c>
      <x:c r="O21" s="4" t="str">
        <x:v>Glioblastoma</x:v>
      </x:c>
      <x:c r="P21" s="6" t="n">
        <x:v>4</x:v>
      </x:c>
      <x:c r="Q21" s="8" t="n">
        <x:v>0.6463099999</x:v>
      </x:c>
      <x:c r="R21" s="6" t="n">
        <x:f>IF(Q21&gt;=Scope!$B$9,1,0)</x:f>
        <x:v>1</x:v>
      </x:c>
      <x:c r="S21" s="8" t="n">
        <x:v>0.5742299104</x:v>
      </x:c>
      <x:c r="T21" s="6" t="n">
        <x:f>IF(S21&gt;=Scope!$B$9,1,0)</x:f>
        <x:v>1</x:v>
      </x:c>
      <x:c r="U21" s="8" t="n">
        <x:v>0.7853403141</x:v>
      </x:c>
      <x:c r="V21" s="6" t="n">
        <x:f>IF(U21&gt;=Scope!$B$9,1,0)</x:f>
        <x:v>1</x:v>
      </x:c>
      <x:c r="W21" s="8" t="n">
        <x:f>(F21-Q21)^2</x:f>
        <x:v>0.41771661597073806</x:v>
      </x:c>
      <x:c r="X21" s="8" t="n">
        <x:f>(F21-S21)^2</x:f>
        <x:v>0.3297399899979921</x:v>
      </x:c>
      <x:c r="Y21" s="8" t="n">
        <x:f>(F21-U21)^2</x:f>
        <x:v>0.6167594089506867</x:v>
      </x:c>
    </x:row>
    <x:row r="22" ht="28" customHeight="1">
      <x:c r="A22" s="4" t="str">
        <x:v>UCSD-PTGBM-0016_01</x:v>
      </x:c>
      <x:c r="B22" s="4" t="str">
        <x:v>UCSD-PTGBM-0016</x:v>
      </x:c>
      <x:c r="C22" s="4" t="str">
        <x:v>BraTS-GLI-02265-100</x:v>
      </x:c>
      <x:c r="D22" s="4" t="str">
        <x:v>BraTS-GLI-02265</x:v>
      </x:c>
      <x:c r="E22" s="4" t="str">
        <x:v>dualid:UCSD-PTGBM-0016</x:v>
      </x:c>
      <x:c r="F22" s="6" t="n">
        <x:v>0</x:v>
      </x:c>
      <x:c r="G22" s="4" t="str">
        <x:v>explicit_negative_case_list</x:v>
      </x:c>
      <x:c r="H22" s="6" t="n">
        <x:v>29</x:v>
      </x:c>
      <x:c r="I22" s="6" t="n">
        <x:v>0</x:v>
      </x:c>
      <x:c r="J22" s="6" t="n">
        <x:v>1</x:v>
      </x:c>
      <x:c r="K22" s="4" t="str">
        <x:v>-749</x:v>
      </x:c>
      <x:c r="L22" s="6" t="n">
        <x:v>749</x:v>
      </x:c>
      <x:c r="M22" s="6" t="n">
        <x:v>6.6200732065</x:v>
      </x:c>
      <x:c r="N22" s="6" t="n">
        <x:v>0</x:v>
      </x:c>
      <x:c r="O22" s="4" t="str">
        <x:v>Glioblastoma</x:v>
      </x:c>
      <x:c r="P22" s="6" t="n">
        <x:v>2</x:v>
      </x:c>
      <x:c r="Q22" s="8" t="n">
        <x:v>0.5978096218</x:v>
      </x:c>
      <x:c r="R22" s="6" t="n">
        <x:f>IF(Q22&gt;=Scope!$B$9,1,0)</x:f>
        <x:v>1</x:v>
      </x:c>
      <x:c r="S22" s="8" t="n">
        <x:v>0.6171697695</x:v>
      </x:c>
      <x:c r="T22" s="6" t="n">
        <x:f>IF(S22&gt;=Scope!$B$9,1,0)</x:f>
        <x:v>1</x:v>
      </x:c>
      <x:c r="U22" s="8" t="n">
        <x:v>0.7883597884</x:v>
      </x:c>
      <x:c r="V22" s="6" t="n">
        <x:f>IF(U22&gt;=Scope!$B$9,1,0)</x:f>
        <x:v>1</x:v>
      </x:c>
      <x:c r="W22" s="8" t="n">
        <x:f>(F22-Q22)^2</x:f>
        <x:v>0.357376343916659</x:v>
      </x:c>
      <x:c r="X22" s="8" t="n">
        <x:f>(F22-S22)^2</x:f>
        <x:v>0.38089852438468313</x:v>
      </x:c>
      <x:c r="Y22" s="8" t="n">
        <x:f>(F22-U22)^2</x:f>
        <x:v>0.6215111559660927</x:v>
      </x:c>
    </x:row>
    <x:row r="23" ht="28" customHeight="1">
      <x:c r="A23" s="4" t="str">
        <x:v>UCSD-PTGBM-0017_01</x:v>
      </x:c>
      <x:c r="B23" s="4" t="str">
        <x:v>UCSD-PTGBM-0017</x:v>
      </x:c>
      <x:c r="C23" s="4" t="str">
        <x:v>BraTS-GLI-02267-100</x:v>
      </x:c>
      <x:c r="D23" s="4" t="str">
        <x:v>BraTS-GLI-02267</x:v>
      </x:c>
      <x:c r="E23" s="4" t="str">
        <x:v>dualid:UCSD-PTGBM-0017</x:v>
      </x:c>
      <x:c r="F23" s="6" t="n">
        <x:v>0</x:v>
      </x:c>
      <x:c r="G23" s="4" t="str">
        <x:v>explicit_negative_case_list</x:v>
      </x:c>
      <x:c r="H23" s="6" t="n">
        <x:v>27</x:v>
      </x:c>
      <x:c r="I23" s="6" t="n">
        <x:v>1</x:v>
      </x:c>
      <x:c r="J23" s="6" t="n">
        <x:v>0</x:v>
      </x:c>
      <x:c r="K23" s="4" t="str">
        <x:v>-314</x:v>
      </x:c>
      <x:c r="L23" s="6" t="n">
        <x:v>314</x:v>
      </x:c>
      <x:c r="M23" s="6" t="n">
        <x:v>5.7525726388</x:v>
      </x:c>
      <x:c r="N23" s="6" t="n">
        <x:v>0</x:v>
      </x:c>
      <x:c r="O23" s="4" t="str">
        <x:v>Glioblastoma</x:v>
      </x:c>
      <x:c r="P23" s="6" t="n">
        <x:v>1</x:v>
      </x:c>
      <x:c r="Q23" s="8" t="n">
        <x:v>0.6833984574</x:v>
      </x:c>
      <x:c r="R23" s="6" t="n">
        <x:f>IF(Q23&gt;=Scope!$B$9,1,0)</x:f>
        <x:v>1</x:v>
      </x:c>
      <x:c r="S23" s="8" t="n">
        <x:v>0.6351076448</x:v>
      </x:c>
      <x:c r="T23" s="6" t="n">
        <x:f>IF(S23&gt;=Scope!$B$9,1,0)</x:f>
        <x:v>1</x:v>
      </x:c>
      <x:c r="U23" s="8" t="n">
        <x:v>0.7842105263</x:v>
      </x:c>
      <x:c r="V23" s="6" t="n">
        <x:f>IF(U23&gt;=Scope!$B$9,1,0)</x:f>
        <x:v>1</x:v>
      </x:c>
      <x:c r="W23" s="8" t="n">
        <x:f>(F23-Q23)^2</x:f>
        <x:v>0.4670334515766997</x:v>
      </x:c>
      <x:c r="X23" s="8" t="n">
        <x:f>(F23-S23)^2</x:f>
        <x:v>0.403361720483403</x:v>
      </x:c>
      <x:c r="Y23" s="8" t="n">
        <x:f>(F23-U23)^2</x:f>
        <x:v>0.614986149559723</x:v>
      </x:c>
    </x:row>
    <x:row r="24" ht="28" customHeight="1">
      <x:c r="A24" s="4" t="str">
        <x:v>UCSD-PTGBM-0017_02</x:v>
      </x:c>
      <x:c r="B24" s="4" t="str">
        <x:v>UCSD-PTGBM-0017</x:v>
      </x:c>
      <x:c r="C24" s="4" t="str">
        <x:v>BraTS-GLI-02267-101</x:v>
      </x:c>
      <x:c r="D24" s="4" t="str">
        <x:v>BraTS-GLI-02267</x:v>
      </x:c>
      <x:c r="E24" s="4" t="str">
        <x:v>dualid:UCSD-PTGBM-0017</x:v>
      </x:c>
      <x:c r="F24" s="6" t="n">
        <x:v>0</x:v>
      </x:c>
      <x:c r="G24" s="4" t="str">
        <x:v>explicit_negative_case_list</x:v>
      </x:c>
      <x:c r="H24" s="6" t="n">
        <x:v>27</x:v>
      </x:c>
      <x:c r="I24" s="6" t="n">
        <x:v>1</x:v>
      </x:c>
      <x:c r="J24" s="6" t="n">
        <x:v>0</x:v>
      </x:c>
      <x:c r="K24" s="4" t="str">
        <x:v>-498</x:v>
      </x:c>
      <x:c r="L24" s="6" t="n">
        <x:v>498</x:v>
      </x:c>
      <x:c r="M24" s="6" t="n">
        <x:v>6.2126060958</x:v>
      </x:c>
      <x:c r="N24" s="6" t="n">
        <x:v>0</x:v>
      </x:c>
      <x:c r="O24" s="4" t="str">
        <x:v>Glioblastoma</x:v>
      </x:c>
      <x:c r="P24" s="6" t="n">
        <x:v>1</x:v>
      </x:c>
      <x:c r="Q24" s="8" t="n">
        <x:v>0.6833984574</x:v>
      </x:c>
      <x:c r="R24" s="6" t="n">
        <x:f>IF(Q24&gt;=Scope!$B$9,1,0)</x:f>
        <x:v>1</x:v>
      </x:c>
      <x:c r="S24" s="8" t="n">
        <x:v>0.5919893065</x:v>
      </x:c>
      <x:c r="T24" s="6" t="n">
        <x:f>IF(S24&gt;=Scope!$B$9,1,0)</x:f>
        <x:v>1</x:v>
      </x:c>
      <x:c r="U24" s="8" t="n">
        <x:v>0.7842105263</x:v>
      </x:c>
      <x:c r="V24" s="6" t="n">
        <x:f>IF(U24&gt;=Scope!$B$9,1,0)</x:f>
        <x:v>1</x:v>
      </x:c>
      <x:c r="W24" s="8" t="n">
        <x:f>(F24-Q24)^2</x:f>
        <x:v>0.4670334515766997</x:v>
      </x:c>
      <x:c r="X24" s="8" t="n">
        <x:f>(F24-S24)^2</x:f>
        <x:v>0.35045133901035097</x:v>
      </x:c>
      <x:c r="Y24" s="8" t="n">
        <x:f>(F24-U24)^2</x:f>
        <x:v>0.614986149559723</x:v>
      </x:c>
    </x:row>
    <x:row r="25" ht="28" customHeight="1">
      <x:c r="A25" s="4" t="str">
        <x:v>UCSD-PTGBM-0018_01</x:v>
      </x:c>
      <x:c r="B25" s="4" t="str">
        <x:v>UCSD-PTGBM-0018</x:v>
      </x:c>
      <x:c r="C25" s="4" t="str">
        <x:v>BraTS-GLI-02268-100</x:v>
      </x:c>
      <x:c r="D25" s="4" t="str">
        <x:v>BraTS-GLI-02268</x:v>
      </x:c>
      <x:c r="E25" s="4" t="str">
        <x:v>dualid:UCSD-PTGBM-0018</x:v>
      </x:c>
      <x:c r="F25" s="6" t="n">
        <x:v>0</x:v>
      </x:c>
      <x:c r="G25" s="4" t="str">
        <x:v>explicit_negative_case_list</x:v>
      </x:c>
      <x:c r="H25" s="6" t="n">
        <x:v>26</x:v>
      </x:c>
      <x:c r="I25" s="6" t="n">
        <x:v>1</x:v>
      </x:c>
      <x:c r="J25" s="6" t="n">
        <x:v>0</x:v>
      </x:c>
      <x:c r="K25" s="4" t="str">
        <x:v>-2540</x:v>
      </x:c>
      <x:c r="L25" s="6" t="n">
        <x:v>2540</x:v>
      </x:c>
      <x:c r="M25" s="6" t="n">
        <x:v>7.8403129833</x:v>
      </x:c>
      <x:c r="N25" s="6" t="n">
        <x:v>0</x:v>
      </x:c>
      <x:c r="O25" s="4" t="str">
        <x:v>Glioblastoma</x:v>
      </x:c>
      <x:c r="P25" s="6" t="n">
        <x:v>2</x:v>
      </x:c>
      <x:c r="Q25" s="8" t="n">
        <x:v>0.6586085707</x:v>
      </x:c>
      <x:c r="R25" s="6" t="n">
        <x:f>IF(Q25&gt;=Scope!$B$9,1,0)</x:f>
        <x:v>1</x:v>
      </x:c>
      <x:c r="S25" s="8" t="n">
        <x:v>0.386655182</x:v>
      </x:c>
      <x:c r="T25" s="6" t="n">
        <x:f>IF(S25&gt;=Scope!$B$9,1,0)</x:f>
        <x:v>0</x:v>
      </x:c>
      <x:c r="U25" s="8" t="n">
        <x:v>0.7883597884</x:v>
      </x:c>
      <x:c r="V25" s="6" t="n">
        <x:f>IF(U25&gt;=Scope!$B$9,1,0)</x:f>
        <x:v>1</x:v>
      </x:c>
      <x:c r="W25" s="8" t="n">
        <x:f>(F25-Q25)^2</x:f>
        <x:v>0.4337652493994969</x:v>
      </x:c>
      <x:c r="X25" s="8" t="n">
        <x:f>(F25-S25)^2</x:f>
        <x:v>0.14950222976745312</x:v>
      </x:c>
      <x:c r="Y25" s="8" t="n">
        <x:f>(F25-U25)^2</x:f>
        <x:v>0.6215111559660927</x:v>
      </x:c>
    </x:row>
    <x:row r="26" ht="28" customHeight="1">
      <x:c r="A26" s="4" t="str">
        <x:v>UCSD-PTGBM-0018_02</x:v>
      </x:c>
      <x:c r="B26" s="4" t="str">
        <x:v>UCSD-PTGBM-0018</x:v>
      </x:c>
      <x:c r="C26" s="4" t="str">
        <x:v>BraTS-GLI-02268-101</x:v>
      </x:c>
      <x:c r="D26" s="4" t="str">
        <x:v>BraTS-GLI-02268</x:v>
      </x:c>
      <x:c r="E26" s="4" t="str">
        <x:v>dualid:UCSD-PTGBM-0018</x:v>
      </x:c>
      <x:c r="F26" s="6" t="n">
        <x:v>0</x:v>
      </x:c>
      <x:c r="G26" s="4" t="str">
        <x:v>explicit_negative_case_list</x:v>
      </x:c>
      <x:c r="H26" s="6" t="n">
        <x:v>26</x:v>
      </x:c>
      <x:c r="I26" s="6" t="n">
        <x:v>1</x:v>
      </x:c>
      <x:c r="J26" s="6" t="n">
        <x:v>0</x:v>
      </x:c>
      <x:c r="K26" s="4" t="str">
        <x:v>-2657</x:v>
      </x:c>
      <x:c r="L26" s="6" t="n">
        <x:v>2657</x:v>
      </x:c>
      <x:c r="M26" s="6" t="n">
        <x:v>7.8853292393</x:v>
      </x:c>
      <x:c r="N26" s="6" t="n">
        <x:v>0</x:v>
      </x:c>
      <x:c r="O26" s="4" t="str">
        <x:v>Glioblastoma</x:v>
      </x:c>
      <x:c r="P26" s="6" t="n">
        <x:v>2</x:v>
      </x:c>
      <x:c r="Q26" s="8" t="n">
        <x:v>0.6586085707</x:v>
      </x:c>
      <x:c r="R26" s="6" t="n">
        <x:f>IF(Q26&gt;=Scope!$B$9,1,0)</x:f>
        <x:v>1</x:v>
      </x:c>
      <x:c r="S26" s="8" t="n">
        <x:v>0.3826161714</x:v>
      </x:c>
      <x:c r="T26" s="6" t="n">
        <x:f>IF(S26&gt;=Scope!$B$9,1,0)</x:f>
        <x:v>0</x:v>
      </x:c>
      <x:c r="U26" s="8" t="n">
        <x:v>0.7883597884</x:v>
      </x:c>
      <x:c r="V26" s="6" t="n">
        <x:f>IF(U26&gt;=Scope!$B$9,1,0)</x:f>
        <x:v>1</x:v>
      </x:c>
      <x:c r="W26" s="8" t="n">
        <x:f>(F26-Q26)^2</x:f>
        <x:v>0.4337652493994969</x:v>
      </x:c>
      <x:c r="X26" s="8" t="n">
        <x:f>(F26-S26)^2</x:f>
        <x:v>0.14639513461679415</x:v>
      </x:c>
      <x:c r="Y26" s="8" t="n">
        <x:f>(F26-U26)^2</x:f>
        <x:v>0.6215111559660927</x:v>
      </x:c>
    </x:row>
    <x:row r="27" ht="28" customHeight="1">
      <x:c r="A27" s="4" t="str">
        <x:v>UCSD-PTGBM-0019_01</x:v>
      </x:c>
      <x:c r="B27" s="4" t="str">
        <x:v>UCSD-PTGBM-0019</x:v>
      </x:c>
      <x:c r="C27" s="4" t="str">
        <x:v>BraTS-GLI-02269-100</x:v>
      </x:c>
      <x:c r="D27" s="4" t="str">
        <x:v>BraTS-GLI-02269</x:v>
      </x:c>
      <x:c r="E27" s="4" t="str">
        <x:v>dualid:UCSD-PTGBM-0019</x:v>
      </x:c>
      <x:c r="F27" s="6" t="n">
        <x:v>0</x:v>
      </x:c>
      <x:c r="G27" s="4" t="str">
        <x:v>explicit_negative_case_list</x:v>
      </x:c>
      <x:c r="H27" s="6" t="n">
        <x:v>54</x:v>
      </x:c>
      <x:c r="I27" s="6" t="n">
        <x:v>1</x:v>
      </x:c>
      <x:c r="J27" s="6" t="n">
        <x:v>0</x:v>
      </x:c>
      <x:c r="K27" s="4" t="str">
        <x:v>-258</x:v>
      </x:c>
      <x:c r="L27" s="6" t="n">
        <x:v>258</x:v>
      </x:c>
      <x:c r="M27" s="6" t="n">
        <x:v>5.5568280617</x:v>
      </x:c>
      <x:c r="N27" s="6" t="n">
        <x:v>0</x:v>
      </x:c>
      <x:c r="O27" s="4" t="str">
        <x:v>Glioblastoma</x:v>
      </x:c>
      <x:c r="P27" s="6" t="n">
        <x:v>4</x:v>
      </x:c>
      <x:c r="Q27" s="8" t="n">
        <x:v>0.8114487518</x:v>
      </x:c>
      <x:c r="R27" s="6" t="n">
        <x:f>IF(Q27&gt;=Scope!$B$9,1,0)</x:f>
        <x:v>1</x:v>
      </x:c>
      <x:c r="S27" s="8" t="n">
        <x:v>0.7205112847</x:v>
      </x:c>
      <x:c r="T27" s="6" t="n">
        <x:f>IF(S27&gt;=Scope!$B$9,1,0)</x:f>
        <x:v>1</x:v>
      </x:c>
      <x:c r="U27" s="8" t="n">
        <x:v>0.7853403141</x:v>
      </x:c>
      <x:c r="V27" s="6" t="n">
        <x:f>IF(U27&gt;=Scope!$B$9,1,0)</x:f>
        <x:v>1</x:v>
      </x:c>
      <x:c r="W27" s="8" t="n">
        <x:f>(F27-Q27)^2</x:f>
        <x:v>0.658449076797778</x:v>
      </x:c>
      <x:c r="X27" s="8" t="n">
        <x:f>(F27-S27)^2</x:f>
        <x:v>0.5191365113800445</x:v>
      </x:c>
      <x:c r="Y27" s="8" t="n">
        <x:f>(F27-U27)^2</x:f>
        <x:v>0.6167594089506867</x:v>
      </x:c>
    </x:row>
    <x:row r="28" ht="28" customHeight="1">
      <x:c r="A28" s="4" t="str">
        <x:v>UCSD-PTGBM-0019_02</x:v>
      </x:c>
      <x:c r="B28" s="4" t="str">
        <x:v>UCSD-PTGBM-0019</x:v>
      </x:c>
      <x:c r="C28" s="4" t="str">
        <x:v>BraTS-GLI-02269-101</x:v>
      </x:c>
      <x:c r="D28" s="4" t="str">
        <x:v>BraTS-GLI-02269</x:v>
      </x:c>
      <x:c r="E28" s="4" t="str">
        <x:v>dualid:UCSD-PTGBM-0019</x:v>
      </x:c>
      <x:c r="F28" s="6" t="n">
        <x:v>0</x:v>
      </x:c>
      <x:c r="G28" s="4" t="str">
        <x:v>explicit_negative_case_list</x:v>
      </x:c>
      <x:c r="H28" s="6" t="n">
        <x:v>54</x:v>
      </x:c>
      <x:c r="I28" s="6" t="n">
        <x:v>1</x:v>
      </x:c>
      <x:c r="J28" s="6" t="n">
        <x:v>0</x:v>
      </x:c>
      <x:c r="K28" s="4" t="str">
        <x:v>-355</x:v>
      </x:c>
      <x:c r="L28" s="6" t="n">
        <x:v>355</x:v>
      </x:c>
      <x:c r="M28" s="6" t="n">
        <x:v>5.8749307308</x:v>
      </x:c>
      <x:c r="N28" s="6" t="n">
        <x:v>0</x:v>
      </x:c>
      <x:c r="O28" s="4" t="str">
        <x:v>Glioblastoma</x:v>
      </x:c>
      <x:c r="P28" s="6" t="n">
        <x:v>4</x:v>
      </x:c>
      <x:c r="Q28" s="8" t="n">
        <x:v>0.8114487518</x:v>
      </x:c>
      <x:c r="R28" s="6" t="n">
        <x:f>IF(Q28&gt;=Scope!$B$9,1,0)</x:f>
        <x:v>1</x:v>
      </x:c>
      <x:c r="S28" s="8" t="n">
        <x:v>0.6809699234</x:v>
      </x:c>
      <x:c r="T28" s="6" t="n">
        <x:f>IF(S28&gt;=Scope!$B$9,1,0)</x:f>
        <x:v>1</x:v>
      </x:c>
      <x:c r="U28" s="8" t="n">
        <x:v>0.7853403141</x:v>
      </x:c>
      <x:c r="V28" s="6" t="n">
        <x:f>IF(U28&gt;=Scope!$B$9,1,0)</x:f>
        <x:v>1</x:v>
      </x:c>
      <x:c r="W28" s="8" t="n">
        <x:f>(F28-Q28)^2</x:f>
        <x:v>0.658449076797778</x:v>
      </x:c>
      <x:c r="X28" s="8" t="n">
        <x:f>(F28-S28)^2</x:f>
        <x:v>0.4637200365754018</x:v>
      </x:c>
      <x:c r="Y28" s="8" t="n">
        <x:f>(F28-U28)^2</x:f>
        <x:v>0.6167594089506867</x:v>
      </x:c>
    </x:row>
    <x:row r="29" ht="28" customHeight="1">
      <x:c r="A29" s="4" t="str">
        <x:v>UCSD-PTGBM-0020_01</x:v>
      </x:c>
      <x:c r="B29" s="4" t="str">
        <x:v>UCSD-PTGBM-0020</x:v>
      </x:c>
      <x:c r="C29" s="4" t="str">
        <x:v>BraTS-GLI-02270-100</x:v>
      </x:c>
      <x:c r="D29" s="4" t="str">
        <x:v>BraTS-GLI-02270</x:v>
      </x:c>
      <x:c r="E29" s="4" t="str">
        <x:v>dualid:UCSD-PTGBM-0020</x:v>
      </x:c>
      <x:c r="F29" s="6" t="n">
        <x:v>1</x:v>
      </x:c>
      <x:c r="G29" s="4" t="str">
        <x:v>derived_from_published_243_equals_192_plus_51_partition</x:v>
      </x:c>
      <x:c r="H29" s="6" t="n">
        <x:v>53</x:v>
      </x:c>
      <x:c r="I29" s="6" t="n">
        <x:v>1</x:v>
      </x:c>
      <x:c r="J29" s="6" t="n">
        <x:v>0</x:v>
      </x:c>
      <x:c r="K29" s="4" t="str">
        <x:v>-1886</x:v>
      </x:c>
      <x:c r="L29" s="6" t="n">
        <x:v>1886</x:v>
      </x:c>
      <x:c r="M29" s="6" t="n">
        <x:v>7.5427435454</x:v>
      </x:c>
      <x:c r="N29" s="6" t="n">
        <x:v>0</x:v>
      </x:c>
      <x:c r="O29" s="4" t="str">
        <x:v>Glioblastoma</x:v>
      </x:c>
      <x:c r="P29" s="6" t="n">
        <x:v>2</x:v>
      </x:c>
      <x:c r="Q29" s="8" t="n">
        <x:v>0.8001013788</x:v>
      </x:c>
      <x:c r="R29" s="6" t="n">
        <x:f>IF(Q29&gt;=Scope!$B$9,1,0)</x:f>
        <x:v>1</x:v>
      </x:c>
      <x:c r="S29" s="8" t="n">
        <x:v>0.5402325771</x:v>
      </x:c>
      <x:c r="T29" s="6" t="n">
        <x:f>IF(S29&gt;=Scope!$B$9,1,0)</x:f>
        <x:v>1</x:v>
      </x:c>
      <x:c r="U29" s="8" t="n">
        <x:v>0.7883597884</x:v>
      </x:c>
      <x:c r="V29" s="6" t="n">
        <x:f>IF(U29&gt;=Scope!$B$9,1,0)</x:f>
        <x:v>1</x:v>
      </x:c>
      <x:c r="W29" s="8" t="n">
        <x:f>(F29-Q29)^2</x:f>
        <x:v>0.0399594587576611</x:v>
      </x:c>
      <x:c r="X29" s="8" t="n">
        <x:f>(F29-S29)^2</x:f>
        <x:v>0.2113860831601074</x:v>
      </x:c>
      <x:c r="Y29" s="8" t="n">
        <x:f>(F29-U29)^2</x:f>
        <x:v>0.04479157916609278</x:v>
      </x:c>
    </x:row>
    <x:row r="30" ht="28" customHeight="1">
      <x:c r="A30" s="4" t="str">
        <x:v>UCSD-PTGBM-0021_01</x:v>
      </x:c>
      <x:c r="B30" s="4" t="str">
        <x:v>UCSD-PTGBM-0021</x:v>
      </x:c>
      <x:c r="C30" s="4" t="str">
        <x:v>BraTS-GLI-02271-100</x:v>
      </x:c>
      <x:c r="D30" s="4" t="str">
        <x:v>BraTS-GLI-02271</x:v>
      </x:c>
      <x:c r="E30" s="4" t="str">
        <x:v>dualid:UCSD-PTGBM-0021</x:v>
      </x:c>
      <x:c r="F30" s="6" t="n">
        <x:v>1</x:v>
      </x:c>
      <x:c r="G30" s="4" t="str">
        <x:v>derived_from_published_243_equals_192_plus_51_partition</x:v>
      </x:c>
      <x:c r="H30" s="6" t="n">
        <x:v>60</x:v>
      </x:c>
      <x:c r="I30" s="6" t="n">
        <x:v>1</x:v>
      </x:c>
      <x:c r="J30" s="6" t="n">
        <x:v>0</x:v>
      </x:c>
      <x:c r="K30" s="4" t="str">
        <x:v>-28</x:v>
      </x:c>
      <x:c r="L30" s="6" t="n">
        <x:v>28</x:v>
      </x:c>
      <x:c r="M30" s="6" t="n">
        <x:v>3.36729583</x:v>
      </x:c>
      <x:c r="N30" s="6" t="n">
        <x:v>0</x:v>
      </x:c>
      <x:c r="O30" s="4" t="str">
        <x:v>Glioblastoma</x:v>
      </x:c>
      <x:c r="P30" s="6" t="n">
        <x:v>5</x:v>
      </x:c>
      <x:c r="Q30" s="8" t="n">
        <x:v>0.8349596909</x:v>
      </x:c>
      <x:c r="R30" s="6" t="n">
        <x:f>IF(Q30&gt;=Scope!$B$9,1,0)</x:f>
        <x:v>1</x:v>
      </x:c>
      <x:c r="S30" s="8" t="n">
        <x:v>0.8899780513</x:v>
      </x:c>
      <x:c r="T30" s="6" t="n">
        <x:f>IF(S30&gt;=Scope!$B$9,1,0)</x:f>
        <x:v>1</x:v>
      </x:c>
      <x:c r="U30" s="8" t="n">
        <x:v>0.7853403141</x:v>
      </x:c>
      <x:c r="V30" s="6" t="n">
        <x:f>IF(U30&gt;=Scope!$B$9,1,0)</x:f>
        <x:v>1</x:v>
      </x:c>
      <x:c r="W30" s="8" t="n">
        <x:f>(F30-Q30)^2</x:f>
        <x:v>0.027238303627823545</x:v>
      </x:c>
      <x:c r="X30" s="8" t="n">
        <x:f>(F30-S30)^2</x:f>
        <x:v>0.01210482919574544</x:v>
      </x:c>
      <x:c r="Y30" s="8" t="n">
        <x:f>(F30-U30)^2</x:f>
        <x:v>0.04607878075068664</x:v>
      </x:c>
    </x:row>
    <x:row r="31" ht="28" customHeight="1">
      <x:c r="A31" s="4" t="str">
        <x:v>UCSD-PTGBM-0022_01</x:v>
      </x:c>
      <x:c r="B31" s="4" t="str">
        <x:v>UCSD-PTGBM-0022</x:v>
      </x:c>
      <x:c r="C31" s="4" t="str">
        <x:v>BraTS-GLI-02272-100</x:v>
      </x:c>
      <x:c r="D31" s="4" t="str">
        <x:v>BraTS-GLI-02272</x:v>
      </x:c>
      <x:c r="E31" s="4" t="str">
        <x:v>dualid:UCSD-PTGBM-0022</x:v>
      </x:c>
      <x:c r="F31" s="6" t="n">
        <x:v>1</x:v>
      </x:c>
      <x:c r="G31" s="4" t="str">
        <x:v>derived_from_published_243_equals_192_plus_51_partition</x:v>
      </x:c>
      <x:c r="H31" s="6" t="n">
        <x:v>70</x:v>
      </x:c>
      <x:c r="I31" s="6" t="n">
        <x:v>1</x:v>
      </x:c>
      <x:c r="J31" s="6" t="n">
        <x:v>0</x:v>
      </x:c>
      <x:c r="K31" s="4" t="str">
        <x:v>-27</x:v>
      </x:c>
      <x:c r="L31" s="6" t="n">
        <x:v>27</x:v>
      </x:c>
      <x:c r="M31" s="6" t="n">
        <x:v>3.3322045102</x:v>
      </x:c>
      <x:c r="N31" s="6" t="n">
        <x:v>0</x:v>
      </x:c>
      <x:c r="O31" s="4" t="str">
        <x:v>Glioblastoma</x:v>
      </x:c>
      <x:c r="P31" s="6" t="n">
        <x:v>1</x:v>
      </x:c>
      <x:c r="Q31" s="8" t="n">
        <x:v>0.8688953453</x:v>
      </x:c>
      <x:c r="R31" s="6" t="n">
        <x:f>IF(Q31&gt;=Scope!$B$9,1,0)</x:f>
        <x:v>1</x:v>
      </x:c>
      <x:c r="S31" s="8" t="n">
        <x:v>0.8897730921</x:v>
      </x:c>
      <x:c r="T31" s="6" t="n">
        <x:f>IF(S31&gt;=Scope!$B$9,1,0)</x:f>
        <x:v>1</x:v>
      </x:c>
      <x:c r="U31" s="8" t="n">
        <x:v>0.7842105263</x:v>
      </x:c>
      <x:c r="V31" s="6" t="n">
        <x:f>IF(U31&gt;=Scope!$B$9,1,0)</x:f>
        <x:v>1</x:v>
      </x:c>
      <x:c r="W31" s="8" t="n">
        <x:f>(F31-Q31)^2</x:f>
        <x:v>0.01718843048400623</x:v>
      </x:c>
      <x:c r="X31" s="8" t="n">
        <x:f>(F31-S31)^2</x:f>
        <x:v>0.012149971225195084</x:v>
      </x:c>
      <x:c r="Y31" s="8" t="n">
        <x:f>(F31-U31)^2</x:f>
        <x:v>0.046565096959722996</x:v>
      </x:c>
    </x:row>
    <x:row r="32" ht="28" customHeight="1">
      <x:c r="A32" s="4" t="str">
        <x:v>UCSD-PTGBM-0022_02</x:v>
      </x:c>
      <x:c r="B32" s="4" t="str">
        <x:v>UCSD-PTGBM-0022</x:v>
      </x:c>
      <x:c r="C32" s="4" t="str">
        <x:v>BraTS-GLI-02272-101</x:v>
      </x:c>
      <x:c r="D32" s="4" t="str">
        <x:v>BraTS-GLI-02272</x:v>
      </x:c>
      <x:c r="E32" s="4" t="str">
        <x:v>dualid:UCSD-PTGBM-0022</x:v>
      </x:c>
      <x:c r="F32" s="6" t="n">
        <x:v>1</x:v>
      </x:c>
      <x:c r="G32" s="4" t="str">
        <x:v>derived_from_published_243_equals_192_plus_51_partition</x:v>
      </x:c>
      <x:c r="H32" s="6" t="n">
        <x:v>70</x:v>
      </x:c>
      <x:c r="I32" s="6" t="n">
        <x:v>1</x:v>
      </x:c>
      <x:c r="J32" s="6" t="n">
        <x:v>0</x:v>
      </x:c>
      <x:c r="K32" s="4" t="str">
        <x:v>-210</x:v>
      </x:c>
      <x:c r="L32" s="6" t="n">
        <x:v>210</x:v>
      </x:c>
      <x:c r="M32" s="6" t="n">
        <x:v>5.3518581335</x:v>
      </x:c>
      <x:c r="N32" s="6" t="n">
        <x:v>0</x:v>
      </x:c>
      <x:c r="O32" s="4" t="str">
        <x:v>Glioblastoma</x:v>
      </x:c>
      <x:c r="P32" s="6" t="n">
        <x:v>1</x:v>
      </x:c>
      <x:c r="Q32" s="8" t="n">
        <x:v>0.8688953453</x:v>
      </x:c>
      <x:c r="R32" s="6" t="n">
        <x:f>IF(Q32&gt;=Scope!$B$9,1,0)</x:f>
        <x:v>1</x:v>
      </x:c>
      <x:c r="S32" s="8" t="n">
        <x:v>0.7840484452</x:v>
      </x:c>
      <x:c r="T32" s="6" t="n">
        <x:f>IF(S32&gt;=Scope!$B$9,1,0)</x:f>
        <x:v>1</x:v>
      </x:c>
      <x:c r="U32" s="8" t="n">
        <x:v>0.7842105263</x:v>
      </x:c>
      <x:c r="V32" s="6" t="n">
        <x:f>IF(U32&gt;=Scope!$B$9,1,0)</x:f>
        <x:v>1</x:v>
      </x:c>
      <x:c r="W32" s="8" t="n">
        <x:f>(F32-Q32)^2</x:f>
        <x:v>0.01718843048400623</x:v>
      </x:c>
      <x:c r="X32" s="8" t="n">
        <x:f>(F32-S32)^2</x:f>
        <x:v>0.046635074020537376</x:v>
      </x:c>
      <x:c r="Y32" s="8" t="n">
        <x:f>(F32-U32)^2</x:f>
        <x:v>0.046565096959722996</x:v>
      </x:c>
    </x:row>
    <x:row r="33" ht="28" customHeight="1">
      <x:c r="A33" s="4" t="str">
        <x:v>UCSD-PTGBM-0023_01</x:v>
      </x:c>
      <x:c r="B33" s="4" t="str">
        <x:v>UCSD-PTGBM-0023</x:v>
      </x:c>
      <x:c r="C33" s="4" t="str">
        <x:v>BraTS-GLI-02273-100</x:v>
      </x:c>
      <x:c r="D33" s="4" t="str">
        <x:v>BraTS-GLI-02273</x:v>
      </x:c>
      <x:c r="E33" s="4" t="str">
        <x:v>dualid:UCSD-PTGBM-0023</x:v>
      </x:c>
      <x:c r="F33" s="6" t="n">
        <x:v>1</x:v>
      </x:c>
      <x:c r="G33" s="4" t="str">
        <x:v>derived_from_published_243_equals_192_plus_51_partition</x:v>
      </x:c>
      <x:c r="H33" s="6" t="n">
        <x:v>35</x:v>
      </x:c>
      <x:c r="I33" s="6" t="n">
        <x:v>1</x:v>
      </x:c>
      <x:c r="J33" s="6" t="n">
        <x:v>0</x:v>
      </x:c>
      <x:c r="K33" s="4" t="str">
        <x:v>-344</x:v>
      </x:c>
      <x:c r="L33" s="6" t="n">
        <x:v>344</x:v>
      </x:c>
      <x:c r="M33" s="6" t="n">
        <x:v>5.843544417</x:v>
      </x:c>
      <x:c r="N33" s="6" t="n">
        <x:v>0</x:v>
      </x:c>
      <x:c r="O33" s="4" t="str">
        <x:v>Glioblastoma</x:v>
      </x:c>
      <x:c r="P33" s="6" t="n">
        <x:v>3</x:v>
      </x:c>
      <x:c r="Q33" s="8" t="n">
        <x:v>0.7069914327</x:v>
      </x:c>
      <x:c r="R33" s="6" t="n">
        <x:f>IF(Q33&gt;=Scope!$B$9,1,0)</x:f>
        <x:v>1</x:v>
      </x:c>
      <x:c r="S33" s="8" t="n">
        <x:v>0.5968205735</x:v>
      </x:c>
      <x:c r="T33" s="6" t="n">
        <x:f>IF(S33&gt;=Scope!$B$9,1,0)</x:f>
        <x:v>1</x:v>
      </x:c>
      <x:c r="U33" s="8" t="n">
        <x:v>0.7853403141</x:v>
      </x:c>
      <x:c r="V33" s="6" t="n">
        <x:f>IF(U33&gt;=Scope!$B$9,1,0)</x:f>
        <x:v>1</x:v>
      </x:c>
      <x:c r="W33" s="8" t="n">
        <x:f>(F33-Q33)^2</x:f>
        <x:v>0.08585402051119864</x:v>
      </x:c>
      <x:c r="X33" s="8" t="n">
        <x:f>(F33-S33)^2</x:f>
        <x:v>0.16255364995286894</x:v>
      </x:c>
      <x:c r="Y33" s="8" t="n">
        <x:f>(F33-U33)^2</x:f>
        <x:v>0.04607878075068664</x:v>
      </x:c>
    </x:row>
    <x:row r="34" ht="28" customHeight="1">
      <x:c r="A34" s="4" t="str">
        <x:v>UCSD-PTGBM-0024_01</x:v>
      </x:c>
      <x:c r="B34" s="4" t="str">
        <x:v>UCSD-PTGBM-0024</x:v>
      </x:c>
      <x:c r="C34" s="4" t="str">
        <x:v>BraTS-GLI-02274-100</x:v>
      </x:c>
      <x:c r="D34" s="4" t="str">
        <x:v>BraTS-GLI-02274</x:v>
      </x:c>
      <x:c r="E34" s="4" t="str">
        <x:v>dualid:UCSD-PTGBM-0024</x:v>
      </x:c>
      <x:c r="F34" s="6" t="n">
        <x:v>1</x:v>
      </x:c>
      <x:c r="G34" s="4" t="str">
        <x:v>derived_from_published_243_equals_192_plus_51_partition</x:v>
      </x:c>
      <x:c r="H34" s="6" t="n">
        <x:v>66</x:v>
      </x:c>
      <x:c r="I34" s="6" t="n">
        <x:v>1</x:v>
      </x:c>
      <x:c r="J34" s="6" t="n">
        <x:v>0</x:v>
      </x:c>
      <x:c r="K34" s="4" t="str">
        <x:v>-640</x:v>
      </x:c>
      <x:c r="L34" s="6" t="n">
        <x:v>640</x:v>
      </x:c>
      <x:c r="M34" s="6" t="n">
        <x:v>6.4630294569</x:v>
      </x:c>
      <x:c r="N34" s="6" t="n">
        <x:v>0</x:v>
      </x:c>
      <x:c r="O34" s="4" t="str">
        <x:v>Glioblastoma</x:v>
      </x:c>
      <x:c r="P34" s="6" t="n">
        <x:v>5</x:v>
      </x:c>
      <x:c r="Q34" s="8" t="n">
        <x:v>0.8598834402</x:v>
      </x:c>
      <x:c r="R34" s="6" t="n">
        <x:f>IF(Q34&gt;=Scope!$B$9,1,0)</x:f>
        <x:v>1</x:v>
      </x:c>
      <x:c r="S34" s="8" t="n">
        <x:v>0.6678558608</x:v>
      </x:c>
      <x:c r="T34" s="6" t="n">
        <x:f>IF(S34&gt;=Scope!$B$9,1,0)</x:f>
        <x:v>1</x:v>
      </x:c>
      <x:c r="U34" s="8" t="n">
        <x:v>0.7853403141</x:v>
      </x:c>
      <x:c r="V34" s="6" t="n">
        <x:f>IF(U34&gt;=Scope!$B$9,1,0)</x:f>
        <x:v>1</x:v>
      </x:c>
      <x:c r="W34" s="8" t="n">
        <x:f>(F34-Q34)^2</x:f>
        <x:v>0.019632650330186987</x:v>
      </x:c>
      <x:c r="X34" s="8" t="n">
        <x:f>(F34-S34)^2</x:f>
        <x:v>0.11031972920490896</x:v>
      </x:c>
      <x:c r="Y34" s="8" t="n">
        <x:f>(F34-U34)^2</x:f>
        <x:v>0.04607878075068664</x:v>
      </x:c>
    </x:row>
    <x:row r="35" ht="28" customHeight="1">
      <x:c r="A35" s="4" t="str">
        <x:v>UCSD-PTGBM-0025_01</x:v>
      </x:c>
      <x:c r="B35" s="4" t="str">
        <x:v>UCSD-PTGBM-0025</x:v>
      </x:c>
      <x:c r="C35" s="4" t="str">
        <x:v>BraTS-GLI-02275-100</x:v>
      </x:c>
      <x:c r="D35" s="4" t="str">
        <x:v>BraTS-GLI-02275</x:v>
      </x:c>
      <x:c r="E35" s="4" t="str">
        <x:v>dualid:UCSD-PTGBM-0025</x:v>
      </x:c>
      <x:c r="F35" s="6" t="n">
        <x:v>1</x:v>
      </x:c>
      <x:c r="G35" s="4" t="str">
        <x:v>derived_from_published_243_equals_192_plus_51_partition</x:v>
      </x:c>
      <x:c r="H35" s="6" t="n">
        <x:v>47</x:v>
      </x:c>
      <x:c r="I35" s="6" t="n">
        <x:v>1</x:v>
      </x:c>
      <x:c r="J35" s="6" t="n">
        <x:v>0</x:v>
      </x:c>
      <x:c r="K35" s="4" t="str">
        <x:v>-11</x:v>
      </x:c>
      <x:c r="L35" s="6" t="n">
        <x:v>11</x:v>
      </x:c>
      <x:c r="M35" s="6" t="n">
        <x:v>2.4849066498</x:v>
      </x:c>
      <x:c r="N35" s="6" t="n">
        <x:v>0</x:v>
      </x:c>
      <x:c r="O35" s="4" t="str">
        <x:v>Glioblastoma</x:v>
      </x:c>
      <x:c r="P35" s="6" t="n">
        <x:v>5</x:v>
      </x:c>
      <x:c r="Q35" s="8" t="n">
        <x:v>0.7690133906</x:v>
      </x:c>
      <x:c r="R35" s="6" t="n">
        <x:f>IF(Q35&gt;=Scope!$B$9,1,0)</x:f>
        <x:v>1</x:v>
      </x:c>
      <x:c r="S35" s="8" t="n">
        <x:v>0.9061726906</x:v>
      </x:c>
      <x:c r="T35" s="6" t="n">
        <x:f>IF(S35&gt;=Scope!$B$9,1,0)</x:f>
        <x:v>1</x:v>
      </x:c>
      <x:c r="U35" s="8" t="n">
        <x:v>0.7853403141</x:v>
      </x:c>
      <x:c r="V35" s="6" t="n">
        <x:f>IF(U35&gt;=Scope!$B$9,1,0)</x:f>
        <x:v>1</x:v>
      </x:c>
      <x:c r="W35" s="8" t="n">
        <x:f>(F35-Q35)^2</x:f>
        <x:v>0.05335481372210819</x:v>
      </x:c>
      <x:c r="X35" s="8" t="n">
        <x:f>(F35-S35)^2</x:f>
        <x:v>0.008803563989243318</x:v>
      </x:c>
      <x:c r="Y35" s="8" t="n">
        <x:f>(F35-U35)^2</x:f>
        <x:v>0.04607878075068664</x:v>
      </x:c>
    </x:row>
    <x:row r="36" ht="28" customHeight="1">
      <x:c r="A36" s="4" t="str">
        <x:v>UCSD-PTGBM-0025_02</x:v>
      </x:c>
      <x:c r="B36" s="4" t="str">
        <x:v>UCSD-PTGBM-0025</x:v>
      </x:c>
      <x:c r="C36" s="4" t="str">
        <x:v>BraTS-GLI-02275-101</x:v>
      </x:c>
      <x:c r="D36" s="4" t="str">
        <x:v>BraTS-GLI-02275</x:v>
      </x:c>
      <x:c r="E36" s="4" t="str">
        <x:v>dualid:UCSD-PTGBM-0025</x:v>
      </x:c>
      <x:c r="F36" s="6" t="n">
        <x:v>1</x:v>
      </x:c>
      <x:c r="G36" s="4" t="str">
        <x:v>derived_from_published_243_equals_192_plus_51_partition</x:v>
      </x:c>
      <x:c r="H36" s="6" t="n">
        <x:v>47</x:v>
      </x:c>
      <x:c r="I36" s="6" t="n">
        <x:v>1</x:v>
      </x:c>
      <x:c r="J36" s="6" t="n">
        <x:v>0</x:v>
      </x:c>
      <x:c r="K36" s="4" t="str">
        <x:v>-201</x:v>
      </x:c>
      <x:c r="L36" s="6" t="n">
        <x:v>201</x:v>
      </x:c>
      <x:c r="M36" s="6" t="n">
        <x:v>5.3082676974</x:v>
      </x:c>
      <x:c r="N36" s="6" t="n">
        <x:v>0</x:v>
      </x:c>
      <x:c r="O36" s="4" t="str">
        <x:v>Glioblastoma</x:v>
      </x:c>
      <x:c r="P36" s="6" t="n">
        <x:v>5</x:v>
      </x:c>
      <x:c r="Q36" s="8" t="n">
        <x:v>0.7690133906</x:v>
      </x:c>
      <x:c r="R36" s="6" t="n">
        <x:f>IF(Q36&gt;=Scope!$B$9,1,0)</x:f>
        <x:v>1</x:v>
      </x:c>
      <x:c r="S36" s="8" t="n">
        <x:v>0.7092691043</x:v>
      </x:c>
      <x:c r="T36" s="6" t="n">
        <x:f>IF(S36&gt;=Scope!$B$9,1,0)</x:f>
        <x:v>1</x:v>
      </x:c>
      <x:c r="U36" s="8" t="n">
        <x:v>0.7853403141</x:v>
      </x:c>
      <x:c r="V36" s="6" t="n">
        <x:f>IF(U36&gt;=Scope!$B$9,1,0)</x:f>
        <x:v>1</x:v>
      </x:c>
      <x:c r="W36" s="8" t="n">
        <x:f>(F36-Q36)^2</x:f>
        <x:v>0.05335481372210819</x:v>
      </x:c>
      <x:c r="X36" s="8" t="n">
        <x:f>(F36-S36)^2</x:f>
        <x:v>0.08452445371452427</x:v>
      </x:c>
      <x:c r="Y36" s="8" t="n">
        <x:f>(F36-U36)^2</x:f>
        <x:v>0.04607878075068664</x:v>
      </x:c>
    </x:row>
    <x:row r="37" ht="28" customHeight="1">
      <x:c r="A37" s="4" t="str">
        <x:v>UCSD-PTGBM-0025_03</x:v>
      </x:c>
      <x:c r="B37" s="4" t="str">
        <x:v>UCSD-PTGBM-0025</x:v>
      </x:c>
      <x:c r="C37" s="4" t="str">
        <x:v>BraTS-GLI-02275-102</x:v>
      </x:c>
      <x:c r="D37" s="4" t="str">
        <x:v>BraTS-GLI-02275</x:v>
      </x:c>
      <x:c r="E37" s="4" t="str">
        <x:v>dualid:UCSD-PTGBM-0025</x:v>
      </x:c>
      <x:c r="F37" s="6" t="n">
        <x:v>1</x:v>
      </x:c>
      <x:c r="G37" s="4" t="str">
        <x:v>derived_from_published_243_equals_192_plus_51_partition</x:v>
      </x:c>
      <x:c r="H37" s="6" t="n">
        <x:v>47</x:v>
      </x:c>
      <x:c r="I37" s="6" t="n">
        <x:v>1</x:v>
      </x:c>
      <x:c r="J37" s="6" t="n">
        <x:v>0</x:v>
      </x:c>
      <x:c r="K37" s="4" t="str">
        <x:v>-228</x:v>
      </x:c>
      <x:c r="L37" s="6" t="n">
        <x:v>228</x:v>
      </x:c>
      <x:c r="M37" s="6" t="n">
        <x:v>5.4337220035</x:v>
      </x:c>
      <x:c r="N37" s="6" t="n">
        <x:v>0</x:v>
      </x:c>
      <x:c r="O37" s="4" t="str">
        <x:v>Glioblastoma</x:v>
      </x:c>
      <x:c r="P37" s="6" t="n">
        <x:v>5</x:v>
      </x:c>
      <x:c r="Q37" s="8" t="n">
        <x:v>0.7690133906</x:v>
      </x:c>
      <x:c r="R37" s="6" t="n">
        <x:f>IF(Q37&gt;=Scope!$B$9,1,0)</x:f>
        <x:v>1</x:v>
      </x:c>
      <x:c r="S37" s="8" t="n">
        <x:v>0.6965025012</x:v>
      </x:c>
      <x:c r="T37" s="6" t="n">
        <x:f>IF(S37&gt;=Scope!$B$9,1,0)</x:f>
        <x:v>1</x:v>
      </x:c>
      <x:c r="U37" s="8" t="n">
        <x:v>0.7853403141</x:v>
      </x:c>
      <x:c r="V37" s="6" t="n">
        <x:f>IF(U37&gt;=Scope!$B$9,1,0)</x:f>
        <x:v>1</x:v>
      </x:c>
      <x:c r="W37" s="8" t="n">
        <x:f>(F37-Q37)^2</x:f>
        <x:v>0.05335481372210819</x:v>
      </x:c>
      <x:c r="X37" s="8" t="n">
        <x:f>(F37-S37)^2</x:f>
        <x:v>0.09211073177785599</x:v>
      </x:c>
      <x:c r="Y37" s="8" t="n">
        <x:f>(F37-U37)^2</x:f>
        <x:v>0.04607878075068664</x:v>
      </x:c>
    </x:row>
    <x:row r="38" ht="28" customHeight="1">
      <x:c r="A38" s="4" t="str">
        <x:v>UCSD-PTGBM-0026_01</x:v>
      </x:c>
      <x:c r="B38" s="4" t="str">
        <x:v>UCSD-PTGBM-0026</x:v>
      </x:c>
      <x:c r="C38" s="4" t="str">
        <x:v>BraTS-GLI-02276-100</x:v>
      </x:c>
      <x:c r="D38" s="4" t="str">
        <x:v>BraTS-GLI-02276</x:v>
      </x:c>
      <x:c r="E38" s="4" t="str">
        <x:v>dualid:UCSD-PTGBM-0026</x:v>
      </x:c>
      <x:c r="F38" s="6" t="n">
        <x:v>1</x:v>
      </x:c>
      <x:c r="G38" s="4" t="str">
        <x:v>derived_from_published_243_equals_192_plus_51_partition</x:v>
      </x:c>
      <x:c r="H38" s="6" t="n">
        <x:v>50</x:v>
      </x:c>
      <x:c r="I38" s="6" t="n">
        <x:v>1</x:v>
      </x:c>
      <x:c r="J38" s="6" t="n">
        <x:v>0</x:v>
      </x:c>
      <x:c r="K38" s="4" t="str">
        <x:v>-98</x:v>
      </x:c>
      <x:c r="L38" s="6" t="n">
        <x:v>98</x:v>
      </x:c>
      <x:c r="M38" s="6" t="n">
        <x:v>4.5951198501</x:v>
      </x:c>
      <x:c r="N38" s="6" t="n">
        <x:v>0</x:v>
      </x:c>
      <x:c r="O38" s="4" t="str">
        <x:v>Glioblastoma</x:v>
      </x:c>
      <x:c r="P38" s="6" t="n">
        <x:v>1</x:v>
      </x:c>
      <x:c r="Q38" s="8" t="n">
        <x:v>0.797293336</x:v>
      </x:c>
      <x:c r="R38" s="6" t="n">
        <x:f>IF(Q38&gt;=Scope!$B$9,1,0)</x:f>
        <x:v>1</x:v>
      </x:c>
      <x:c r="S38" s="8" t="n">
        <x:v>0.7892756387</x:v>
      </x:c>
      <x:c r="T38" s="6" t="n">
        <x:f>IF(S38&gt;=Scope!$B$9,1,0)</x:f>
        <x:v>1</x:v>
      </x:c>
      <x:c r="U38" s="8" t="n">
        <x:v>0.7842105263</x:v>
      </x:c>
      <x:c r="V38" s="6" t="n">
        <x:f>IF(U38&gt;=Scope!$B$9,1,0)</x:f>
        <x:v>1</x:v>
      </x:c>
      <x:c r="W38" s="8" t="n">
        <x:f>(F38-Q38)^2</x:f>
        <x:v>0.04108999163000891</x:v>
      </x:c>
      <x:c r="X38" s="8" t="n">
        <x:f>(F38-S38)^2</x:f>
        <x:v>0.04440475644529296</x:v>
      </x:c>
      <x:c r="Y38" s="8" t="n">
        <x:f>(F38-U38)^2</x:f>
        <x:v>0.046565096959722996</x:v>
      </x:c>
    </x:row>
    <x:row r="39" ht="28" customHeight="1">
      <x:c r="A39" s="4" t="str">
        <x:v>UCSD-PTGBM-0027_01</x:v>
      </x:c>
      <x:c r="B39" s="4" t="str">
        <x:v>UCSD-PTGBM-0027</x:v>
      </x:c>
      <x:c r="C39" s="4" t="str">
        <x:v>BraTS-GLI-02277-100</x:v>
      </x:c>
      <x:c r="D39" s="4" t="str">
        <x:v>BraTS-GLI-02277</x:v>
      </x:c>
      <x:c r="E39" s="4" t="str">
        <x:v>dualid:UCSD-PTGBM-0027</x:v>
      </x:c>
      <x:c r="F39" s="6" t="n">
        <x:v>1</x:v>
      </x:c>
      <x:c r="G39" s="4" t="str">
        <x:v>derived_from_published_243_equals_192_plus_51_partition</x:v>
      </x:c>
      <x:c r="H39" s="6" t="n">
        <x:v>74</x:v>
      </x:c>
      <x:c r="I39" s="6" t="n">
        <x:v>1</x:v>
      </x:c>
      <x:c r="J39" s="6" t="n">
        <x:v>0</x:v>
      </x:c>
      <x:c r="K39" s="4" t="str">
        <x:v>-150</x:v>
      </x:c>
      <x:c r="L39" s="6" t="n">
        <x:v>150</x:v>
      </x:c>
      <x:c r="M39" s="6" t="n">
        <x:v>5.0172798368</x:v>
      </x:c>
      <x:c r="N39" s="6" t="n">
        <x:v>0</x:v>
      </x:c>
      <x:c r="O39" s="4" t="str">
        <x:v>Glioblastoma</x:v>
      </x:c>
      <x:c r="P39" s="6" t="n">
        <x:v>1</x:v>
      </x:c>
      <x:c r="Q39" s="8" t="n">
        <x:v>0.880332183</x:v>
      </x:c>
      <x:c r="R39" s="6" t="n">
        <x:f>IF(Q39&gt;=Scope!$B$9,1,0)</x:f>
        <x:v>1</x:v>
      </x:c>
      <x:c r="S39" s="8" t="n">
        <x:v>0.813880945</x:v>
      </x:c>
      <x:c r="T39" s="6" t="n">
        <x:f>IF(S39&gt;=Scope!$B$9,1,0)</x:f>
        <x:v>1</x:v>
      </x:c>
      <x:c r="U39" s="8" t="n">
        <x:v>0.7842105263</x:v>
      </x:c>
      <x:c r="V39" s="6" t="n">
        <x:f>IF(U39&gt;=Scope!$B$9,1,0)</x:f>
        <x:v>1</x:v>
      </x:c>
      <x:c r="W39" s="8" t="n">
        <x:f>(F39-Q39)^2</x:f>
        <x:v>0.014320386425545478</x:v>
      </x:c>
      <x:c r="X39" s="8" t="n">
        <x:f>(F39-S39)^2</x:f>
        <x:v>0.03464030263409304</x:v>
      </x:c>
      <x:c r="Y39" s="8" t="n">
        <x:f>(F39-U39)^2</x:f>
        <x:v>0.046565096959722996</x:v>
      </x:c>
    </x:row>
    <x:row r="40" ht="28" customHeight="1">
      <x:c r="A40" s="4" t="str">
        <x:v>UCSD-PTGBM-0028_01</x:v>
      </x:c>
      <x:c r="B40" s="4" t="str">
        <x:v>UCSD-PTGBM-0028</x:v>
      </x:c>
      <x:c r="C40" s="4" t="str">
        <x:v>BraTS-GLI-02279-100</x:v>
      </x:c>
      <x:c r="D40" s="4" t="str">
        <x:v>BraTS-GLI-02279</x:v>
      </x:c>
      <x:c r="E40" s="4" t="str">
        <x:v>dualid:UCSD-PTGBM-0028</x:v>
      </x:c>
      <x:c r="F40" s="6" t="n">
        <x:v>1</x:v>
      </x:c>
      <x:c r="G40" s="4" t="str">
        <x:v>derived_from_published_243_equals_192_plus_51_partition</x:v>
      </x:c>
      <x:c r="H40" s="6" t="n">
        <x:v>66</x:v>
      </x:c>
      <x:c r="I40" s="6" t="n">
        <x:v>1</x:v>
      </x:c>
      <x:c r="J40" s="6" t="n">
        <x:v>0</x:v>
      </x:c>
      <x:c r="K40" s="4" t="str">
        <x:v>-20</x:v>
      </x:c>
      <x:c r="L40" s="6" t="n">
        <x:v>20</x:v>
      </x:c>
      <x:c r="M40" s="6" t="n">
        <x:v>3.0445224377</x:v>
      </x:c>
      <x:c r="N40" s="6" t="n">
        <x:v>0</x:v>
      </x:c>
      <x:c r="O40" s="4" t="str">
        <x:v>Glioblastoma</x:v>
      </x:c>
      <x:c r="P40" s="6" t="n">
        <x:v>3</x:v>
      </x:c>
      <x:c r="Q40" s="8" t="n">
        <x:v>0.8482376654</x:v>
      </x:c>
      <x:c r="R40" s="6" t="n">
        <x:f>IF(Q40&gt;=Scope!$B$9,1,0)</x:f>
        <x:v>1</x:v>
      </x:c>
      <x:c r="S40" s="8" t="n">
        <x:v>0.9072879157</x:v>
      </x:c>
      <x:c r="T40" s="6" t="n">
        <x:f>IF(S40&gt;=Scope!$B$9,1,0)</x:f>
        <x:v>1</x:v>
      </x:c>
      <x:c r="U40" s="8" t="n">
        <x:v>0.7853403141</x:v>
      </x:c>
      <x:c r="V40" s="6" t="n">
        <x:f>IF(U40&gt;=Scope!$B$9,1,0)</x:f>
        <x:v>1</x:v>
      </x:c>
      <x:c r="W40" s="8" t="n">
        <x:f>(F40-Q40)^2</x:f>
        <x:v>0.023031806203242355</x:v>
      </x:c>
      <x:c r="X40" s="8" t="n">
        <x:f>(F40-S40)^2</x:f>
        <x:v>0.008595530575250306</x:v>
      </x:c>
      <x:c r="Y40" s="8" t="n">
        <x:f>(F40-U40)^2</x:f>
        <x:v>0.04607878075068664</x:v>
      </x:c>
    </x:row>
    <x:row r="41" ht="28" customHeight="1">
      <x:c r="A41" s="4" t="str">
        <x:v>UCSD-PTGBM-0029_01</x:v>
      </x:c>
      <x:c r="B41" s="4" t="str">
        <x:v>UCSD-PTGBM-0029</x:v>
      </x:c>
      <x:c r="C41" s="4" t="str">
        <x:v>BraTS-GLI-02280-100</x:v>
      </x:c>
      <x:c r="D41" s="4" t="str">
        <x:v>BraTS-GLI-02280</x:v>
      </x:c>
      <x:c r="E41" s="4" t="str">
        <x:v>dualid:UCSD-PTGBM-0029</x:v>
      </x:c>
      <x:c r="F41" s="6" t="n">
        <x:v>1</x:v>
      </x:c>
      <x:c r="G41" s="4" t="str">
        <x:v>derived_from_published_243_equals_192_plus_51_partition</x:v>
      </x:c>
      <x:c r="H41" s="6" t="n">
        <x:v>65</x:v>
      </x:c>
      <x:c r="I41" s="6" t="n">
        <x:v>0</x:v>
      </x:c>
      <x:c r="J41" s="6" t="n">
        <x:v>0</x:v>
      </x:c>
      <x:c r="K41" s="4" t="str">
        <x:v>-237</x:v>
      </x:c>
      <x:c r="L41" s="6" t="n">
        <x:v>237</x:v>
      </x:c>
      <x:c r="M41" s="6" t="n">
        <x:v>5.4722706737</x:v>
      </x:c>
      <x:c r="N41" s="6" t="n">
        <x:v>0</x:v>
      </x:c>
      <x:c r="O41" s="4" t="str">
        <x:v>Glioblastoma</x:v>
      </x:c>
      <x:c r="P41" s="6" t="n">
        <x:v>3</x:v>
      </x:c>
      <x:c r="Q41" s="8" t="n">
        <x:v>0.7950343805</x:v>
      </x:c>
      <x:c r="R41" s="6" t="n">
        <x:f>IF(Q41&gt;=Scope!$B$9,1,0)</x:f>
        <x:v>1</x:v>
      </x:c>
      <x:c r="S41" s="8" t="n">
        <x:v>0.6967197041</x:v>
      </x:c>
      <x:c r="T41" s="6" t="n">
        <x:f>IF(S41&gt;=Scope!$B$9,1,0)</x:f>
        <x:v>1</x:v>
      </x:c>
      <x:c r="U41" s="8" t="n">
        <x:v>0.7853403141</x:v>
      </x:c>
      <x:c r="V41" s="6" t="n">
        <x:f>IF(U41&gt;=Scope!$B$9,1,0)</x:f>
        <x:v>1</x:v>
      </x:c>
      <x:c r="W41" s="8" t="n">
        <x:f>(F41-Q41)^2</x:f>
        <x:v>0.04201090517701879</x:v>
      </x:c>
      <x:c r="X41" s="8" t="n">
        <x:f>(F41-S41)^2</x:f>
        <x:v>0.09197893788119159</x:v>
      </x:c>
      <x:c r="Y41" s="8" t="n">
        <x:f>(F41-U41)^2</x:f>
        <x:v>0.04607878075068664</x:v>
      </x:c>
    </x:row>
    <x:row r="42" ht="28" customHeight="1">
      <x:c r="A42" s="4" t="str">
        <x:v>UCSD-PTGBM-0030_01</x:v>
      </x:c>
      <x:c r="B42" s="4" t="str">
        <x:v>UCSD-PTGBM-0030</x:v>
      </x:c>
      <x:c r="C42" s="4" t="str">
        <x:v>BraTS-GLI-02282-100</x:v>
      </x:c>
      <x:c r="D42" s="4" t="str">
        <x:v>BraTS-GLI-02282</x:v>
      </x:c>
      <x:c r="E42" s="4" t="str">
        <x:v>dualid:UCSD-PTGBM-0030</x:v>
      </x:c>
      <x:c r="F42" s="6" t="n">
        <x:v>1</x:v>
      </x:c>
      <x:c r="G42" s="4" t="str">
        <x:v>derived_from_published_243_equals_192_plus_51_partition</x:v>
      </x:c>
      <x:c r="H42" s="6" t="n">
        <x:v>73</x:v>
      </x:c>
      <x:c r="I42" s="6" t="n">
        <x:v>1</x:v>
      </x:c>
      <x:c r="J42" s="6" t="n">
        <x:v>0</x:v>
      </x:c>
      <x:c r="K42" s="4" t="str">
        <x:v>-254</x:v>
      </x:c>
      <x:c r="L42" s="6" t="n">
        <x:v>254</x:v>
      </x:c>
      <x:c r="M42" s="6" t="n">
        <x:v>5.5412635452</x:v>
      </x:c>
      <x:c r="N42" s="6" t="n">
        <x:v>0</x:v>
      </x:c>
      <x:c r="O42" s="4" t="str">
        <x:v>Glioblastoma</x:v>
      </x:c>
      <x:c r="P42" s="6" t="n">
        <x:v>2</x:v>
      </x:c>
      <x:c r="Q42" s="8" t="n">
        <x:v>0.8729770784</x:v>
      </x:c>
      <x:c r="R42" s="6" t="n">
        <x:f>IF(Q42&gt;=Scope!$B$9,1,0)</x:f>
        <x:v>1</x:v>
      </x:c>
      <x:c r="S42" s="8" t="n">
        <x:v>0.7854435022</x:v>
      </x:c>
      <x:c r="T42" s="6" t="n">
        <x:f>IF(S42&gt;=Scope!$B$9,1,0)</x:f>
        <x:v>1</x:v>
      </x:c>
      <x:c r="U42" s="8" t="n">
        <x:v>0.7883597884</x:v>
      </x:c>
      <x:c r="V42" s="6" t="n">
        <x:f>IF(U42&gt;=Scope!$B$9,1,0)</x:f>
        <x:v>1</x:v>
      </x:c>
      <x:c r="W42" s="8" t="n">
        <x:f>(F42-Q42)^2</x:f>
        <x:v>0.016134822611799732</x:v>
      </x:c>
      <x:c r="X42" s="8" t="n">
        <x:f>(F42-S42)^2</x:f>
        <x:v>0.046034490748201394</x:v>
      </x:c>
      <x:c r="Y42" s="8" t="n">
        <x:f>(F42-U42)^2</x:f>
        <x:v>0.04479157916609278</x:v>
      </x:c>
    </x:row>
    <x:row r="43" ht="28" customHeight="1">
      <x:c r="A43" s="4" t="str">
        <x:v>UCSD-PTGBM-0031_01</x:v>
      </x:c>
      <x:c r="B43" s="4" t="str">
        <x:v>UCSD-PTGBM-0031</x:v>
      </x:c>
      <x:c r="C43" s="4" t="str">
        <x:v>BraTS-GLI-02284-100</x:v>
      </x:c>
      <x:c r="D43" s="4" t="str">
        <x:v>BraTS-GLI-02284</x:v>
      </x:c>
      <x:c r="E43" s="4" t="str">
        <x:v>dualid:UCSD-PTGBM-0031</x:v>
      </x:c>
      <x:c r="F43" s="6" t="n">
        <x:v>1</x:v>
      </x:c>
      <x:c r="G43" s="4" t="str">
        <x:v>derived_from_published_243_equals_192_plus_51_partition</x:v>
      </x:c>
      <x:c r="H43" s="6" t="n">
        <x:v>63</x:v>
      </x:c>
      <x:c r="I43" s="6" t="n">
        <x:v>1</x:v>
      </x:c>
      <x:c r="J43" s="6" t="n">
        <x:v>0</x:v>
      </x:c>
      <x:c r="K43" s="4" t="str">
        <x:v>-24</x:v>
      </x:c>
      <x:c r="L43" s="6" t="n">
        <x:v>24</x:v>
      </x:c>
      <x:c r="M43" s="6" t="n">
        <x:v>3.2188758249</x:v>
      </x:c>
      <x:c r="N43" s="6" t="n">
        <x:v>0</x:v>
      </x:c>
      <x:c r="O43" s="4" t="str">
        <x:v>Glioblastoma</x:v>
      </x:c>
      <x:c r="P43" s="6" t="n">
        <x:v>4</x:v>
      </x:c>
      <x:c r="Q43" s="8" t="n">
        <x:v>0.8533167663</x:v>
      </x:c>
      <x:c r="R43" s="6" t="n">
        <x:f>IF(Q43&gt;=Scope!$B$9,1,0)</x:f>
        <x:v>1</x:v>
      </x:c>
      <x:c r="S43" s="8" t="n">
        <x:v>0.9259665046</x:v>
      </x:c>
      <x:c r="T43" s="6" t="n">
        <x:f>IF(S43&gt;=Scope!$B$9,1,0)</x:f>
        <x:v>1</x:v>
      </x:c>
      <x:c r="U43" s="8" t="n">
        <x:v>0.7853403141</x:v>
      </x:c>
      <x:c r="V43" s="6" t="n">
        <x:f>IF(U43&gt;=Scope!$B$9,1,0)</x:f>
        <x:v>1</x:v>
      </x:c>
      <x:c r="W43" s="8" t="n">
        <x:f>(F43-Q43)^2</x:f>
        <x:v>0.021515971048688822</x:v>
      </x:c>
      <x:c r="X43" s="8" t="n">
        <x:f>(F43-S43)^2</x:f>
        <x:v>0.005480958441141826</x:v>
      </x:c>
      <x:c r="Y43" s="8" t="n">
        <x:f>(F43-U43)^2</x:f>
        <x:v>0.04607878075068664</x:v>
      </x:c>
    </x:row>
    <x:row r="44" ht="28" customHeight="1">
      <x:c r="A44" s="4" t="str">
        <x:v>UCSD-PTGBM-0032_01</x:v>
      </x:c>
      <x:c r="B44" s="4" t="str">
        <x:v>UCSD-PTGBM-0032</x:v>
      </x:c>
      <x:c r="C44" s="4" t="str">
        <x:v>BraTS-GLI-02285-100</x:v>
      </x:c>
      <x:c r="D44" s="4" t="str">
        <x:v>BraTS-GLI-02285</x:v>
      </x:c>
      <x:c r="E44" s="4" t="str">
        <x:v>dualid:UCSD-PTGBM-0032</x:v>
      </x:c>
      <x:c r="F44" s="6" t="n">
        <x:v>1</x:v>
      </x:c>
      <x:c r="G44" s="4" t="str">
        <x:v>derived_from_published_243_equals_192_plus_51_partition</x:v>
      </x:c>
      <x:c r="H44" s="6" t="n">
        <x:v>72</x:v>
      </x:c>
      <x:c r="I44" s="6" t="n">
        <x:v>0</x:v>
      </x:c>
      <x:c r="J44" s="6" t="n">
        <x:v>0</x:v>
      </x:c>
      <x:c r="K44" s="4" t="str">
        <x:v>-40</x:v>
      </x:c>
      <x:c r="L44" s="6" t="n">
        <x:v>40</x:v>
      </x:c>
      <x:c r="M44" s="6" t="n">
        <x:v>3.7135720667</x:v>
      </x:c>
      <x:c r="N44" s="6" t="n">
        <x:v>0</x:v>
      </x:c>
      <x:c r="O44" s="4" t="str">
        <x:v>Glioblastoma</x:v>
      </x:c>
      <x:c r="P44" s="6" t="n">
        <x:v>1</x:v>
      </x:c>
      <x:c r="Q44" s="8" t="n">
        <x:v>0.8077681152</x:v>
      </x:c>
      <x:c r="R44" s="6" t="n">
        <x:f>IF(Q44&gt;=Scope!$B$9,1,0)</x:f>
        <x:v>1</x:v>
      </x:c>
      <x:c r="S44" s="8" t="n">
        <x:v>0.8329294235</x:v>
      </x:c>
      <x:c r="T44" s="6" t="n">
        <x:f>IF(S44&gt;=Scope!$B$9,1,0)</x:f>
        <x:v>1</x:v>
      </x:c>
      <x:c r="U44" s="8" t="n">
        <x:v>0.7842105263</x:v>
      </x:c>
      <x:c r="V44" s="6" t="n">
        <x:f>IF(U44&gt;=Scope!$B$9,1,0)</x:f>
        <x:v>1</x:v>
      </x:c>
      <x:c r="W44" s="8" t="n">
        <x:f>(F44-Q44)^2</x:f>
        <x:v>0.036953097533760464</x:v>
      </x:c>
      <x:c r="X44" s="8" t="n">
        <x:f>(F44-S44)^2</x:f>
        <x:v>0.027912577532042356</x:v>
      </x:c>
      <x:c r="Y44" s="8" t="n">
        <x:f>(F44-U44)^2</x:f>
        <x:v>0.046565096959722996</x:v>
      </x:c>
    </x:row>
    <x:row r="45" ht="28" customHeight="1">
      <x:c r="A45" s="4" t="str">
        <x:v>UCSD-PTGBM-0032_02</x:v>
      </x:c>
      <x:c r="B45" s="4" t="str">
        <x:v>UCSD-PTGBM-0032</x:v>
      </x:c>
      <x:c r="C45" s="4" t="str">
        <x:v>BraTS-GLI-02285-101</x:v>
      </x:c>
      <x:c r="D45" s="4" t="str">
        <x:v>BraTS-GLI-02285</x:v>
      </x:c>
      <x:c r="E45" s="4" t="str">
        <x:v>dualid:UCSD-PTGBM-0032</x:v>
      </x:c>
      <x:c r="F45" s="6" t="n">
        <x:v>1</x:v>
      </x:c>
      <x:c r="G45" s="4" t="str">
        <x:v>derived_from_published_243_equals_192_plus_51_partition</x:v>
      </x:c>
      <x:c r="H45" s="6" t="n">
        <x:v>72</x:v>
      </x:c>
      <x:c r="I45" s="6" t="n">
        <x:v>0</x:v>
      </x:c>
      <x:c r="J45" s="6" t="n">
        <x:v>0</x:v>
      </x:c>
      <x:c r="K45" s="4" t="str">
        <x:v>-115</x:v>
      </x:c>
      <x:c r="L45" s="6" t="n">
        <x:v>115</x:v>
      </x:c>
      <x:c r="M45" s="6" t="n">
        <x:v>4.7535901911</x:v>
      </x:c>
      <x:c r="N45" s="6" t="n">
        <x:v>0</x:v>
      </x:c>
      <x:c r="O45" s="4" t="str">
        <x:v>Glioblastoma</x:v>
      </x:c>
      <x:c r="P45" s="6" t="n">
        <x:v>1</x:v>
      </x:c>
      <x:c r="Q45" s="8" t="n">
        <x:v>0.8077681152</x:v>
      </x:c>
      <x:c r="R45" s="6" t="n">
        <x:f>IF(Q45&gt;=Scope!$B$9,1,0)</x:f>
        <x:v>1</x:v>
      </x:c>
      <x:c r="S45" s="8" t="n">
        <x:v>0.7676491047</x:v>
      </x:c>
      <x:c r="T45" s="6" t="n">
        <x:f>IF(S45&gt;=Scope!$B$9,1,0)</x:f>
        <x:v>1</x:v>
      </x:c>
      <x:c r="U45" s="8" t="n">
        <x:v>0.7842105263</x:v>
      </x:c>
      <x:c r="V45" s="6" t="n">
        <x:f>IF(U45&gt;=Scope!$B$9,1,0)</x:f>
        <x:v>1</x:v>
      </x:c>
      <x:c r="W45" s="8" t="n">
        <x:f>(F45-Q45)^2</x:f>
        <x:v>0.036953097533760464</x:v>
      </x:c>
      <x:c r="X45" s="8" t="n">
        <x:f>(F45-S45)^2</x:f>
        <x:v>0.05398693854671155</x:v>
      </x:c>
      <x:c r="Y45" s="8" t="n">
        <x:f>(F45-U45)^2</x:f>
        <x:v>0.046565096959722996</x:v>
      </x:c>
    </x:row>
    <x:row r="46" ht="28" customHeight="1">
      <x:c r="A46" s="4" t="str">
        <x:v>UCSD-PTGBM-0032_03</x:v>
      </x:c>
      <x:c r="B46" s="4" t="str">
        <x:v>UCSD-PTGBM-0032</x:v>
      </x:c>
      <x:c r="C46" s="4" t="str">
        <x:v>BraTS-GLI-02285-102</x:v>
      </x:c>
      <x:c r="D46" s="4" t="str">
        <x:v>BraTS-GLI-02285</x:v>
      </x:c>
      <x:c r="E46" s="4" t="str">
        <x:v>dualid:UCSD-PTGBM-0032</x:v>
      </x:c>
      <x:c r="F46" s="6" t="n">
        <x:v>1</x:v>
      </x:c>
      <x:c r="G46" s="4" t="str">
        <x:v>derived_from_published_243_equals_192_plus_51_partition</x:v>
      </x:c>
      <x:c r="H46" s="6" t="n">
        <x:v>72</x:v>
      </x:c>
      <x:c r="I46" s="6" t="n">
        <x:v>0</x:v>
      </x:c>
      <x:c r="J46" s="6" t="n">
        <x:v>0</x:v>
      </x:c>
      <x:c r="K46" s="4" t="str">
        <x:v>-172</x:v>
      </x:c>
      <x:c r="L46" s="6" t="n">
        <x:v>172</x:v>
      </x:c>
      <x:c r="M46" s="6" t="n">
        <x:v>5.1532915945</x:v>
      </x:c>
      <x:c r="N46" s="6" t="n">
        <x:v>0</x:v>
      </x:c>
      <x:c r="O46" s="4" t="str">
        <x:v>Glioblastoma</x:v>
      </x:c>
      <x:c r="P46" s="6" t="n">
        <x:v>1</x:v>
      </x:c>
      <x:c r="Q46" s="8" t="n">
        <x:v>0.8077681152</x:v>
      </x:c>
      <x:c r="R46" s="6" t="n">
        <x:f>IF(Q46&gt;=Scope!$B$9,1,0)</x:f>
        <x:v>1</x:v>
      </x:c>
      <x:c r="S46" s="8" t="n">
        <x:v>0.7382621349</x:v>
      </x:c>
      <x:c r="T46" s="6" t="n">
        <x:f>IF(S46&gt;=Scope!$B$9,1,0)</x:f>
        <x:v>1</x:v>
      </x:c>
      <x:c r="U46" s="8" t="n">
        <x:v>0.7842105263</x:v>
      </x:c>
      <x:c r="V46" s="6" t="n">
        <x:f>IF(U46&gt;=Scope!$B$9,1,0)</x:f>
        <x:v>1</x:v>
      </x:c>
      <x:c r="W46" s="8" t="n">
        <x:f>(F46-Q46)^2</x:f>
        <x:v>0.036953097533760464</x:v>
      </x:c>
      <x:c r="X46" s="8" t="n">
        <x:f>(F46-S46)^2</x:f>
        <x:v>0.06850671002710577</x:v>
      </x:c>
      <x:c r="Y46" s="8" t="n">
        <x:f>(F46-U46)^2</x:f>
        <x:v>0.046565096959722996</x:v>
      </x:c>
    </x:row>
    <x:row r="47" ht="28" customHeight="1">
      <x:c r="A47" s="4" t="str">
        <x:v>UCSD-PTGBM-0032_04</x:v>
      </x:c>
      <x:c r="B47" s="4" t="str">
        <x:v>UCSD-PTGBM-0032</x:v>
      </x:c>
      <x:c r="C47" s="4" t="str">
        <x:v>BraTS-GLI-02285-103</x:v>
      </x:c>
      <x:c r="D47" s="4" t="str">
        <x:v>BraTS-GLI-02285</x:v>
      </x:c>
      <x:c r="E47" s="4" t="str">
        <x:v>dualid:UCSD-PTGBM-0032</x:v>
      </x:c>
      <x:c r="F47" s="6" t="n">
        <x:v>1</x:v>
      </x:c>
      <x:c r="G47" s="4" t="str">
        <x:v>derived_from_published_243_equals_192_plus_51_partition</x:v>
      </x:c>
      <x:c r="H47" s="6" t="n">
        <x:v>72</x:v>
      </x:c>
      <x:c r="I47" s="6" t="n">
        <x:v>0</x:v>
      </x:c>
      <x:c r="J47" s="6" t="n">
        <x:v>0</x:v>
      </x:c>
      <x:c r="K47" s="4" t="str">
        <x:v>-273</x:v>
      </x:c>
      <x:c r="L47" s="6" t="n">
        <x:v>273</x:v>
      </x:c>
      <x:c r="M47" s="6" t="n">
        <x:v>5.6131281064</x:v>
      </x:c>
      <x:c r="N47" s="6" t="n">
        <x:v>0</x:v>
      </x:c>
      <x:c r="O47" s="4" t="str">
        <x:v>Glioblastoma</x:v>
      </x:c>
      <x:c r="P47" s="6" t="n">
        <x:v>1</x:v>
      </x:c>
      <x:c r="Q47" s="8" t="n">
        <x:v>0.8077681152</x:v>
      </x:c>
      <x:c r="R47" s="6" t="n">
        <x:f>IF(Q47&gt;=Scope!$B$9,1,0)</x:f>
        <x:v>1</x:v>
      </x:c>
      <x:c r="S47" s="8" t="n">
        <x:v>0.7016225867</x:v>
      </x:c>
      <x:c r="T47" s="6" t="n">
        <x:f>IF(S47&gt;=Scope!$B$9,1,0)</x:f>
        <x:v>1</x:v>
      </x:c>
      <x:c r="U47" s="8" t="n">
        <x:v>0.7842105263</x:v>
      </x:c>
      <x:c r="V47" s="6" t="n">
        <x:f>IF(U47&gt;=Scope!$B$9,1,0)</x:f>
        <x:v>1</x:v>
      </x:c>
      <x:c r="W47" s="8" t="n">
        <x:f>(F47-Q47)^2</x:f>
        <x:v>0.036953097533760464</x:v>
      </x:c>
      <x:c r="X47" s="8" t="n">
        <x:f>(F47-S47)^2</x:f>
        <x:v>0.08902908076759902</x:v>
      </x:c>
      <x:c r="Y47" s="8" t="n">
        <x:f>(F47-U47)^2</x:f>
        <x:v>0.046565096959722996</x:v>
      </x:c>
    </x:row>
    <x:row r="48" ht="28" customHeight="1">
      <x:c r="A48" s="4" t="str">
        <x:v>UCSD-PTGBM-0033_01</x:v>
      </x:c>
      <x:c r="B48" s="4" t="str">
        <x:v>UCSD-PTGBM-0033</x:v>
      </x:c>
      <x:c r="C48" s="4" t="str">
        <x:v>BraTS-GLI-02286-100</x:v>
      </x:c>
      <x:c r="D48" s="4" t="str">
        <x:v>BraTS-GLI-02286</x:v>
      </x:c>
      <x:c r="E48" s="4" t="str">
        <x:v>dualid:UCSD-PTGBM-0033</x:v>
      </x:c>
      <x:c r="F48" s="6" t="n">
        <x:v>1</x:v>
      </x:c>
      <x:c r="G48" s="4" t="str">
        <x:v>derived_from_published_243_equals_192_plus_51_partition</x:v>
      </x:c>
      <x:c r="H48" s="6" t="n">
        <x:v>69</x:v>
      </x:c>
      <x:c r="I48" s="6" t="n">
        <x:v>0</x:v>
      </x:c>
      <x:c r="J48" s="6" t="n">
        <x:v>0</x:v>
      </x:c>
      <x:c r="K48" s="4" t="str">
        <x:v>-98</x:v>
      </x:c>
      <x:c r="L48" s="6" t="n">
        <x:v>98</x:v>
      </x:c>
      <x:c r="M48" s="6" t="n">
        <x:v>4.5951198501</x:v>
      </x:c>
      <x:c r="N48" s="6" t="n">
        <x:v>0</x:v>
      </x:c>
      <x:c r="O48" s="4" t="str">
        <x:v>Glioblastoma</x:v>
      </x:c>
      <x:c r="P48" s="6" t="n">
        <x:v>4</x:v>
      </x:c>
      <x:c r="Q48" s="8" t="n">
        <x:v>0.8032295302</x:v>
      </x:c>
      <x:c r="R48" s="6" t="n">
        <x:f>IF(Q48&gt;=Scope!$B$9,1,0)</x:f>
        <x:v>1</x:v>
      </x:c>
      <x:c r="S48" s="8" t="n">
        <x:v>0.8183817713</x:v>
      </x:c>
      <x:c r="T48" s="6" t="n">
        <x:f>IF(S48&gt;=Scope!$B$9,1,0)</x:f>
        <x:v>1</x:v>
      </x:c>
      <x:c r="U48" s="8" t="n">
        <x:v>0.7853403141</x:v>
      </x:c>
      <x:c r="V48" s="6" t="n">
        <x:f>IF(U48&gt;=Scope!$B$9,1,0)</x:f>
        <x:v>1</x:v>
      </x:c>
      <x:c r="W48" s="8" t="n">
        <x:f>(F48-Q48)^2</x:f>
        <x:v>0.038718617785312714</x:v>
      </x:c>
      <x:c r="X48" s="8" t="n">
        <x:f>(F48-S48)^2</x:f>
        <x:v>0.032985180996125504</x:v>
      </x:c>
      <x:c r="Y48" s="8" t="n">
        <x:f>(F48-U48)^2</x:f>
        <x:v>0.04607878075068664</x:v>
      </x:c>
    </x:row>
    <x:row r="49" ht="28" customHeight="1">
      <x:c r="A49" s="4" t="str">
        <x:v>UCSD-PTGBM-0033_02</x:v>
      </x:c>
      <x:c r="B49" s="4" t="str">
        <x:v>UCSD-PTGBM-0033</x:v>
      </x:c>
      <x:c r="C49" s="4" t="str">
        <x:v>BraTS-GLI-02286-101</x:v>
      </x:c>
      <x:c r="D49" s="4" t="str">
        <x:v>BraTS-GLI-02286</x:v>
      </x:c>
      <x:c r="E49" s="4" t="str">
        <x:v>dualid:UCSD-PTGBM-0033</x:v>
      </x:c>
      <x:c r="F49" s="6" t="n">
        <x:v>0</x:v>
      </x:c>
      <x:c r="G49" s="4" t="str">
        <x:v>explicit_negative_case_list</x:v>
      </x:c>
      <x:c r="H49" s="6" t="n">
        <x:v>69</x:v>
      </x:c>
      <x:c r="I49" s="6" t="n">
        <x:v>0</x:v>
      </x:c>
      <x:c r="J49" s="6" t="n">
        <x:v>0</x:v>
      </x:c>
      <x:c r="K49" s="4" t="str">
        <x:v>-156</x:v>
      </x:c>
      <x:c r="L49" s="6" t="n">
        <x:v>156</x:v>
      </x:c>
      <x:c r="M49" s="6" t="n">
        <x:v>5.0562458053</x:v>
      </x:c>
      <x:c r="N49" s="6" t="n">
        <x:v>0</x:v>
      </x:c>
      <x:c r="O49" s="4" t="str">
        <x:v>Glioblastoma</x:v>
      </x:c>
      <x:c r="P49" s="6" t="n">
        <x:v>4</x:v>
      </x:c>
      <x:c r="Q49" s="8" t="n">
        <x:v>0.8032295302</x:v>
      </x:c>
      <x:c r="R49" s="6" t="n">
        <x:f>IF(Q49&gt;=Scope!$B$9,1,0)</x:f>
        <x:v>1</x:v>
      </x:c>
      <x:c r="S49" s="8" t="n">
        <x:v>0.7741306208</x:v>
      </x:c>
      <x:c r="T49" s="6" t="n">
        <x:f>IF(S49&gt;=Scope!$B$9,1,0)</x:f>
        <x:v>1</x:v>
      </x:c>
      <x:c r="U49" s="8" t="n">
        <x:v>0.7853403141</x:v>
      </x:c>
      <x:c r="V49" s="6" t="n">
        <x:f>IF(U49&gt;=Scope!$B$9,1,0)</x:f>
        <x:v>1</x:v>
      </x:c>
      <x:c r="W49" s="8" t="n">
        <x:f>(F49-Q49)^2</x:f>
        <x:v>0.6451776781853127</x:v>
      </x:c>
      <x:c r="X49" s="8" t="n">
        <x:f>(F49-S49)^2</x:f>
        <x:v>0.5992782180601933</x:v>
      </x:c>
      <x:c r="Y49" s="8" t="n">
        <x:f>(F49-U49)^2</x:f>
        <x:v>0.6167594089506867</x:v>
      </x:c>
    </x:row>
    <x:row r="50" ht="28" customHeight="1">
      <x:c r="A50" s="4" t="str">
        <x:v>UCSD-PTGBM-0033_03</x:v>
      </x:c>
      <x:c r="B50" s="4" t="str">
        <x:v>UCSD-PTGBM-0033</x:v>
      </x:c>
      <x:c r="C50" s="4" t="str">
        <x:v>BraTS-GLI-02286-102</x:v>
      </x:c>
      <x:c r="D50" s="4" t="str">
        <x:v>BraTS-GLI-02286</x:v>
      </x:c>
      <x:c r="E50" s="4" t="str">
        <x:v>dualid:UCSD-PTGBM-0033</x:v>
      </x:c>
      <x:c r="F50" s="6" t="n">
        <x:v>1</x:v>
      </x:c>
      <x:c r="G50" s="4" t="str">
        <x:v>derived_from_published_243_equals_192_plus_51_partition</x:v>
      </x:c>
      <x:c r="H50" s="6" t="n">
        <x:v>69</x:v>
      </x:c>
      <x:c r="I50" s="6" t="n">
        <x:v>0</x:v>
      </x:c>
      <x:c r="J50" s="6" t="n">
        <x:v>0</x:v>
      </x:c>
      <x:c r="K50" s="4" t="str">
        <x:v>-189</x:v>
      </x:c>
      <x:c r="L50" s="6" t="n">
        <x:v>189</x:v>
      </x:c>
      <x:c r="M50" s="6" t="n">
        <x:v>5.2470240722</x:v>
      </x:c>
      <x:c r="N50" s="6" t="n">
        <x:v>0</x:v>
      </x:c>
      <x:c r="O50" s="4" t="str">
        <x:v>Glioblastoma</x:v>
      </x:c>
      <x:c r="P50" s="6" t="n">
        <x:v>4</x:v>
      </x:c>
      <x:c r="Q50" s="8" t="n">
        <x:v>0.8032295302</x:v>
      </x:c>
      <x:c r="R50" s="6" t="n">
        <x:f>IF(Q50&gt;=Scope!$B$9,1,0)</x:f>
        <x:v>1</x:v>
      </x:c>
      <x:c r="S50" s="8" t="n">
        <x:v>0.7537239947</x:v>
      </x:c>
      <x:c r="T50" s="6" t="n">
        <x:f>IF(S50&gt;=Scope!$B$9,1,0)</x:f>
        <x:v>1</x:v>
      </x:c>
      <x:c r="U50" s="8" t="n">
        <x:v>0.7853403141</x:v>
      </x:c>
      <x:c r="V50" s="6" t="n">
        <x:f>IF(U50&gt;=Scope!$B$9,1,0)</x:f>
        <x:v>1</x:v>
      </x:c>
      <x:c r="W50" s="8" t="n">
        <x:f>(F50-Q50)^2</x:f>
        <x:v>0.038718617785312714</x:v>
      </x:c>
      <x:c r="X50" s="8" t="n">
        <x:f>(F50-S50)^2</x:f>
        <x:v>0.06065187078652565</x:v>
      </x:c>
      <x:c r="Y50" s="8" t="n">
        <x:f>(F50-U50)^2</x:f>
        <x:v>0.04607878075068664</x:v>
      </x:c>
    </x:row>
    <x:row r="51" ht="28" customHeight="1">
      <x:c r="A51" s="4" t="str">
        <x:v>UCSD-PTGBM-0034_01</x:v>
      </x:c>
      <x:c r="B51" s="4" t="str">
        <x:v>UCSD-PTGBM-0034</x:v>
      </x:c>
      <x:c r="C51" s="4" t="str">
        <x:v>BraTS-GLI-02287-100</x:v>
      </x:c>
      <x:c r="D51" s="4" t="str">
        <x:v>BraTS-GLI-02287</x:v>
      </x:c>
      <x:c r="E51" s="4" t="str">
        <x:v>dualid:UCSD-PTGBM-0034</x:v>
      </x:c>
      <x:c r="F51" s="6" t="n">
        <x:v>1</x:v>
      </x:c>
      <x:c r="G51" s="4" t="str">
        <x:v>derived_from_published_243_equals_192_plus_51_partition</x:v>
      </x:c>
      <x:c r="H51" s="6" t="n">
        <x:v>59</x:v>
      </x:c>
      <x:c r="I51" s="6" t="n">
        <x:v>1</x:v>
      </x:c>
      <x:c r="J51" s="6" t="n">
        <x:v>0</x:v>
      </x:c>
      <x:c r="K51" s="4" t="str">
        <x:v>Unknown</x:v>
      </x:c>
      <x:c r="L51" s="6"/>
      <x:c r="M51" s="6"/>
      <x:c r="N51" s="6" t="n">
        <x:v>1</x:v>
      </x:c>
      <x:c r="O51" s="4" t="str">
        <x:v>Glioblastoma</x:v>
      </x:c>
      <x:c r="P51" s="6" t="n">
        <x:v>2</x:v>
      </x:c>
      <x:c r="Q51" s="8" t="n">
        <x:v>0.8247854678</x:v>
      </x:c>
      <x:c r="R51" s="6" t="n">
        <x:f>IF(Q51&gt;=Scope!$B$9,1,0)</x:f>
        <x:v>1</x:v>
      </x:c>
      <x:c r="S51" s="8" t="n">
        <x:v>0.8962495042</x:v>
      </x:c>
      <x:c r="T51" s="6" t="n">
        <x:f>IF(S51&gt;=Scope!$B$9,1,0)</x:f>
        <x:v>1</x:v>
      </x:c>
      <x:c r="U51" s="8" t="n">
        <x:v>0.7883597884</x:v>
      </x:c>
      <x:c r="V51" s="6" t="n">
        <x:f>IF(U51&gt;=Scope!$B$9,1,0)</x:f>
        <x:v>1</x:v>
      </x:c>
      <x:c r="W51" s="8" t="n">
        <x:f>(F51-Q51)^2</x:f>
        <x:v>0.030700132294064854</x:v>
      </x:c>
      <x:c r="X51" s="8" t="n">
        <x:f>(F51-S51)^2</x:f>
        <x:v>0.010764165378745808</x:v>
      </x:c>
      <x:c r="Y51" s="8" t="n">
        <x:f>(F51-U51)^2</x:f>
        <x:v>0.04479157916609278</x:v>
      </x:c>
    </x:row>
    <x:row r="52" ht="28" customHeight="1">
      <x:c r="A52" s="4" t="str">
        <x:v>UCSD-PTGBM-0034_02</x:v>
      </x:c>
      <x:c r="B52" s="4" t="str">
        <x:v>UCSD-PTGBM-0034</x:v>
      </x:c>
      <x:c r="C52" s="4" t="str">
        <x:v>BraTS-GLI-02287-101</x:v>
      </x:c>
      <x:c r="D52" s="4" t="str">
        <x:v>BraTS-GLI-02287</x:v>
      </x:c>
      <x:c r="E52" s="4" t="str">
        <x:v>dualid:UCSD-PTGBM-0034</x:v>
      </x:c>
      <x:c r="F52" s="6" t="n">
        <x:v>1</x:v>
      </x:c>
      <x:c r="G52" s="4" t="str">
        <x:v>derived_from_published_243_equals_192_plus_51_partition</x:v>
      </x:c>
      <x:c r="H52" s="6" t="n">
        <x:v>59</x:v>
      </x:c>
      <x:c r="I52" s="6" t="n">
        <x:v>1</x:v>
      </x:c>
      <x:c r="J52" s="6" t="n">
        <x:v>0</x:v>
      </x:c>
      <x:c r="K52" s="4" t="str">
        <x:v>Unknown</x:v>
      </x:c>
      <x:c r="L52" s="6"/>
      <x:c r="M52" s="6"/>
      <x:c r="N52" s="6" t="n">
        <x:v>1</x:v>
      </x:c>
      <x:c r="O52" s="4" t="str">
        <x:v>Glioblastoma</x:v>
      </x:c>
      <x:c r="P52" s="6" t="n">
        <x:v>2</x:v>
      </x:c>
      <x:c r="Q52" s="8" t="n">
        <x:v>0.8247854678</x:v>
      </x:c>
      <x:c r="R52" s="6" t="n">
        <x:f>IF(Q52&gt;=Scope!$B$9,1,0)</x:f>
        <x:v>1</x:v>
      </x:c>
      <x:c r="S52" s="8" t="n">
        <x:v>0.8962495042</x:v>
      </x:c>
      <x:c r="T52" s="6" t="n">
        <x:f>IF(S52&gt;=Scope!$B$9,1,0)</x:f>
        <x:v>1</x:v>
      </x:c>
      <x:c r="U52" s="8" t="n">
        <x:v>0.7883597884</x:v>
      </x:c>
      <x:c r="V52" s="6" t="n">
        <x:f>IF(U52&gt;=Scope!$B$9,1,0)</x:f>
        <x:v>1</x:v>
      </x:c>
      <x:c r="W52" s="8" t="n">
        <x:f>(F52-Q52)^2</x:f>
        <x:v>0.030700132294064854</x:v>
      </x:c>
      <x:c r="X52" s="8" t="n">
        <x:f>(F52-S52)^2</x:f>
        <x:v>0.010764165378745808</x:v>
      </x:c>
      <x:c r="Y52" s="8" t="n">
        <x:f>(F52-U52)^2</x:f>
        <x:v>0.04479157916609278</x:v>
      </x:c>
    </x:row>
    <x:row r="53" ht="28" customHeight="1">
      <x:c r="A53" s="4" t="str">
        <x:v>UCSD-PTGBM-0035_01</x:v>
      </x:c>
      <x:c r="B53" s="4" t="str">
        <x:v>UCSD-PTGBM-0035</x:v>
      </x:c>
      <x:c r="C53" s="4" t="str">
        <x:v>BraTS-GLI-02288-100</x:v>
      </x:c>
      <x:c r="D53" s="4" t="str">
        <x:v>BraTS-GLI-02288</x:v>
      </x:c>
      <x:c r="E53" s="4" t="str">
        <x:v>dualid:UCSD-PTGBM-0035</x:v>
      </x:c>
      <x:c r="F53" s="6" t="n">
        <x:v>1</x:v>
      </x:c>
      <x:c r="G53" s="4" t="str">
        <x:v>derived_from_published_243_equals_192_plus_51_partition</x:v>
      </x:c>
      <x:c r="H53" s="6" t="n">
        <x:v>36</x:v>
      </x:c>
      <x:c r="I53" s="6" t="n">
        <x:v>1</x:v>
      </x:c>
      <x:c r="J53" s="6" t="n">
        <x:v>0</x:v>
      </x:c>
      <x:c r="K53" s="4" t="str">
        <x:v>-1609</x:v>
      </x:c>
      <x:c r="L53" s="6" t="n">
        <x:v>1609</x:v>
      </x:c>
      <x:c r="M53" s="6" t="n">
        <x:v>7.383989458</x:v>
      </x:c>
      <x:c r="N53" s="6" t="n">
        <x:v>0</x:v>
      </x:c>
      <x:c r="O53" s="4" t="str">
        <x:v>Glioblastoma</x:v>
      </x:c>
      <x:c r="P53" s="6" t="n">
        <x:v>1</x:v>
      </x:c>
      <x:c r="Q53" s="8" t="n">
        <x:v>0.7318890197</x:v>
      </x:c>
      <x:c r="R53" s="6" t="n">
        <x:f>IF(Q53&gt;=Scope!$B$9,1,0)</x:f>
        <x:v>1</x:v>
      </x:c>
      <x:c r="S53" s="8" t="n">
        <x:v>0.5073694685</x:v>
      </x:c>
      <x:c r="T53" s="6" t="n">
        <x:f>IF(S53&gt;=Scope!$B$9,1,0)</x:f>
        <x:v>1</x:v>
      </x:c>
      <x:c r="U53" s="8" t="n">
        <x:v>0.7842105263</x:v>
      </x:c>
      <x:c r="V53" s="6" t="n">
        <x:f>IF(U53&gt;=Scope!$B$9,1,0)</x:f>
        <x:v>1</x:v>
      </x:c>
      <x:c r="W53" s="8" t="n">
        <x:f>(F53-Q53)^2</x:f>
        <x:v>0.071883497757427</x:v>
      </x:c>
      <x:c r="X53" s="8" t="n">
        <x:f>(F53-S53)^2</x:f>
        <x:v>0.2426848405659725</x:v>
      </x:c>
      <x:c r="Y53" s="8" t="n">
        <x:f>(F53-U53)^2</x:f>
        <x:v>0.046565096959722996</x:v>
      </x:c>
    </x:row>
    <x:row r="54" ht="28" customHeight="1">
      <x:c r="A54" s="4" t="str">
        <x:v>UCSD-PTGBM-0037_01</x:v>
      </x:c>
      <x:c r="B54" s="4" t="str">
        <x:v>UCSD-PTGBM-0037</x:v>
      </x:c>
      <x:c r="C54" s="4" t="str">
        <x:v>BraTS-GLI-02290-100</x:v>
      </x:c>
      <x:c r="D54" s="4" t="str">
        <x:v>BraTS-GLI-02290</x:v>
      </x:c>
      <x:c r="E54" s="4" t="str">
        <x:v>dualid:UCSD-PTGBM-0037</x:v>
      </x:c>
      <x:c r="F54" s="6" t="n">
        <x:v>1</x:v>
      </x:c>
      <x:c r="G54" s="4" t="str">
        <x:v>derived_from_published_243_equals_192_plus_51_partition</x:v>
      </x:c>
      <x:c r="H54" s="6" t="n">
        <x:v>44</x:v>
      </x:c>
      <x:c r="I54" s="6" t="n">
        <x:v>1</x:v>
      </x:c>
      <x:c r="J54" s="6" t="n">
        <x:v>1</x:v>
      </x:c>
      <x:c r="K54" s="4" t="str">
        <x:v>-1097</x:v>
      </x:c>
      <x:c r="L54" s="6" t="n">
        <x:v>1097</x:v>
      </x:c>
      <x:c r="M54" s="6" t="n">
        <x:v>7.0012456221</x:v>
      </x:c>
      <x:c r="N54" s="6" t="n">
        <x:v>0</x:v>
      </x:c>
      <x:c r="O54" s="4" t="str">
        <x:v>Glioblastoma</x:v>
      </x:c>
      <x:c r="P54" s="6" t="n">
        <x:v>4</x:v>
      </x:c>
      <x:c r="Q54" s="8" t="n">
        <x:v>0.7548331982</x:v>
      </x:c>
      <x:c r="R54" s="6" t="n">
        <x:f>IF(Q54&gt;=Scope!$B$9,1,0)</x:f>
        <x:v>1</x:v>
      </x:c>
      <x:c r="S54" s="8" t="n">
        <x:v>0.5646881967</x:v>
      </x:c>
      <x:c r="T54" s="6" t="n">
        <x:f>IF(S54&gt;=Scope!$B$9,1,0)</x:f>
        <x:v>1</x:v>
      </x:c>
      <x:c r="U54" s="8" t="n">
        <x:v>0.7853403141</x:v>
      </x:c>
      <x:c r="V54" s="6" t="n">
        <x:f>IF(U54&gt;=Scope!$B$9,1,0)</x:f>
        <x:v>1</x:v>
      </x:c>
      <x:c r="W54" s="8" t="n">
        <x:f>(F54-Q54)^2</x:f>
        <x:v>0.06010676070484046</x:v>
      </x:c>
      <x:c r="X54" s="8" t="n">
        <x:f>(F54-S54)^2</x:f>
        <x:v>0.18949636609229786</x:v>
      </x:c>
      <x:c r="Y54" s="8" t="n">
        <x:f>(F54-U54)^2</x:f>
        <x:v>0.04607878075068664</x:v>
      </x:c>
    </x:row>
    <x:row r="55" ht="28" customHeight="1">
      <x:c r="A55" s="4" t="str">
        <x:v>UCSD-PTGBM-0037_02</x:v>
      </x:c>
      <x:c r="B55" s="4" t="str">
        <x:v>UCSD-PTGBM-0037</x:v>
      </x:c>
      <x:c r="C55" s="4" t="str">
        <x:v>BraTS-GLI-02290-101</x:v>
      </x:c>
      <x:c r="D55" s="4" t="str">
        <x:v>BraTS-GLI-02290</x:v>
      </x:c>
      <x:c r="E55" s="4" t="str">
        <x:v>dualid:UCSD-PTGBM-0037</x:v>
      </x:c>
      <x:c r="F55" s="6" t="n">
        <x:v>1</x:v>
      </x:c>
      <x:c r="G55" s="4" t="str">
        <x:v>derived_from_published_243_equals_192_plus_51_partition</x:v>
      </x:c>
      <x:c r="H55" s="6" t="n">
        <x:v>44</x:v>
      </x:c>
      <x:c r="I55" s="6" t="n">
        <x:v>1</x:v>
      </x:c>
      <x:c r="J55" s="6" t="n">
        <x:v>1</x:v>
      </x:c>
      <x:c r="K55" s="4" t="str">
        <x:v>-1114</x:v>
      </x:c>
      <x:c r="L55" s="6" t="n">
        <x:v>1114</x:v>
      </x:c>
      <x:c r="M55" s="6" t="n">
        <x:v>7.0166096839</x:v>
      </x:c>
      <x:c r="N55" s="6" t="n">
        <x:v>0</x:v>
      </x:c>
      <x:c r="O55" s="4" t="str">
        <x:v>Glioblastoma</x:v>
      </x:c>
      <x:c r="P55" s="6" t="n">
        <x:v>4</x:v>
      </x:c>
      <x:c r="Q55" s="8" t="n">
        <x:v>0.7548331982</x:v>
      </x:c>
      <x:c r="R55" s="6" t="n">
        <x:f>IF(Q55&gt;=Scope!$B$9,1,0)</x:f>
        <x:v>1</x:v>
      </x:c>
      <x:c r="S55" s="8" t="n">
        <x:v>0.5624457311</x:v>
      </x:c>
      <x:c r="T55" s="6" t="n">
        <x:f>IF(S55&gt;=Scope!$B$9,1,0)</x:f>
        <x:v>1</x:v>
      </x:c>
      <x:c r="U55" s="8" t="n">
        <x:v>0.7853403141</x:v>
      </x:c>
      <x:c r="V55" s="6" t="n">
        <x:f>IF(U55&gt;=Scope!$B$9,1,0)</x:f>
        <x:v>1</x:v>
      </x:c>
      <x:c r="W55" s="8" t="n">
        <x:f>(F55-Q55)^2</x:f>
        <x:v>0.06010676070484046</x:v>
      </x:c>
      <x:c r="X55" s="8" t="n">
        <x:f>(F55-S55)^2</x:f>
        <x:v>0.19145373823261355</x:v>
      </x:c>
      <x:c r="Y55" s="8" t="n">
        <x:f>(F55-U55)^2</x:f>
        <x:v>0.04607878075068664</x:v>
      </x:c>
    </x:row>
    <x:row r="56" ht="28" customHeight="1">
      <x:c r="A56" s="4" t="str">
        <x:v>UCSD-PTGBM-0037_03</x:v>
      </x:c>
      <x:c r="B56" s="4" t="str">
        <x:v>UCSD-PTGBM-0037</x:v>
      </x:c>
      <x:c r="C56" s="4" t="str">
        <x:v>BraTS-GLI-02290-102</x:v>
      </x:c>
      <x:c r="D56" s="4" t="str">
        <x:v>BraTS-GLI-02290</x:v>
      </x:c>
      <x:c r="E56" s="4" t="str">
        <x:v>dualid:UCSD-PTGBM-0037</x:v>
      </x:c>
      <x:c r="F56" s="6" t="n">
        <x:v>1</x:v>
      </x:c>
      <x:c r="G56" s="4" t="str">
        <x:v>derived_from_published_243_equals_192_plus_51_partition</x:v>
      </x:c>
      <x:c r="H56" s="6" t="n">
        <x:v>44</x:v>
      </x:c>
      <x:c r="I56" s="6" t="n">
        <x:v>1</x:v>
      </x:c>
      <x:c r="J56" s="6" t="n">
        <x:v>1</x:v>
      </x:c>
      <x:c r="K56" s="4" t="str">
        <x:v>-1141</x:v>
      </x:c>
      <x:c r="L56" s="6" t="n">
        <x:v>1141</x:v>
      </x:c>
      <x:c r="M56" s="6" t="n">
        <x:v>7.0405363902</x:v>
      </x:c>
      <x:c r="N56" s="6" t="n">
        <x:v>0</x:v>
      </x:c>
      <x:c r="O56" s="4" t="str">
        <x:v>Glioblastoma</x:v>
      </x:c>
      <x:c r="P56" s="6" t="n">
        <x:v>4</x:v>
      </x:c>
      <x:c r="Q56" s="8" t="n">
        <x:v>0.7548331982</x:v>
      </x:c>
      <x:c r="R56" s="6" t="n">
        <x:f>IF(Q56&gt;=Scope!$B$9,1,0)</x:f>
        <x:v>1</x:v>
      </x:c>
      <x:c r="S56" s="8" t="n">
        <x:v>0.5589484481</x:v>
      </x:c>
      <x:c r="T56" s="6" t="n">
        <x:f>IF(S56&gt;=Scope!$B$9,1,0)</x:f>
        <x:v>1</x:v>
      </x:c>
      <x:c r="U56" s="8" t="n">
        <x:v>0.7853403141</x:v>
      </x:c>
      <x:c r="V56" s="6" t="n">
        <x:f>IF(U56&gt;=Scope!$B$9,1,0)</x:f>
        <x:v>1</x:v>
      </x:c>
      <x:c r="W56" s="8" t="n">
        <x:f>(F56-Q56)^2</x:f>
        <x:v>0.06010676070484046</x:v>
      </x:c>
      <x:c r="X56" s="8" t="n">
        <x:f>(F56-S56)^2</x:f>
        <x:v>0.1945264714333984</x:v>
      </x:c>
      <x:c r="Y56" s="8" t="n">
        <x:f>(F56-U56)^2</x:f>
        <x:v>0.04607878075068664</x:v>
      </x:c>
    </x:row>
    <x:row r="57" ht="28" customHeight="1">
      <x:c r="A57" s="4" t="str">
        <x:v>UCSD-PTGBM-0039_01</x:v>
      </x:c>
      <x:c r="B57" s="4" t="str">
        <x:v>UCSD-PTGBM-0039</x:v>
      </x:c>
      <x:c r="C57" s="4" t="str">
        <x:v>BraTS-GLI-02292-100</x:v>
      </x:c>
      <x:c r="D57" s="4" t="str">
        <x:v>BraTS-GLI-02292</x:v>
      </x:c>
      <x:c r="E57" s="4" t="str">
        <x:v>dualid:UCSD-PTGBM-0039</x:v>
      </x:c>
      <x:c r="F57" s="6" t="n">
        <x:v>1</x:v>
      </x:c>
      <x:c r="G57" s="4" t="str">
        <x:v>derived_from_published_243_equals_192_plus_51_partition</x:v>
      </x:c>
      <x:c r="H57" s="6" t="n">
        <x:v>64</x:v>
      </x:c>
      <x:c r="I57" s="6" t="n">
        <x:v>0</x:v>
      </x:c>
      <x:c r="J57" s="6" t="n">
        <x:v>1</x:v>
      </x:c>
      <x:c r="K57" s="4" t="str">
        <x:v>-477</x:v>
      </x:c>
      <x:c r="L57" s="6" t="n">
        <x:v>477</x:v>
      </x:c>
      <x:c r="M57" s="6" t="n">
        <x:v>6.1696107325</x:v>
      </x:c>
      <x:c r="N57" s="6" t="n">
        <x:v>0</x:v>
      </x:c>
      <x:c r="O57" s="4" t="str">
        <x:v>Glioblastoma</x:v>
      </x:c>
      <x:c r="P57" s="6" t="n">
        <x:v>3</x:v>
      </x:c>
      <x:c r="Q57" s="8" t="n">
        <x:v>0.7905833715</x:v>
      </x:c>
      <x:c r="R57" s="6" t="n">
        <x:f>IF(Q57&gt;=Scope!$B$9,1,0)</x:f>
        <x:v>1</x:v>
      </x:c>
      <x:c r="S57" s="8" t="n">
        <x:v>0.7460835684</x:v>
      </x:c>
      <x:c r="T57" s="6" t="n">
        <x:f>IF(S57&gt;=Scope!$B$9,1,0)</x:f>
        <x:v>1</x:v>
      </x:c>
      <x:c r="U57" s="8" t="n">
        <x:v>0.7853403141</x:v>
      </x:c>
      <x:c r="V57" s="6" t="n">
        <x:f>IF(U57&gt;=Scope!$B$9,1,0)</x:f>
        <x:v>1</x:v>
      </x:c>
      <x:c r="W57" s="8" t="n">
        <x:f>(F57-Q57)^2</x:f>
        <x:v>0.043855324292307006</x:v>
      </x:c>
      <x:c r="X57" s="8" t="n">
        <x:f>(F57-S57)^2</x:f>
        <x:v>0.06447355423647748</x:v>
      </x:c>
      <x:c r="Y57" s="8" t="n">
        <x:f>(F57-U57)^2</x:f>
        <x:v>0.04607878075068664</x:v>
      </x:c>
    </x:row>
    <x:row r="58" ht="28" customHeight="1">
      <x:c r="A58" s="4" t="str">
        <x:v>UCSD-PTGBM-0040_01</x:v>
      </x:c>
      <x:c r="B58" s="4" t="str">
        <x:v>UCSD-PTGBM-0040</x:v>
      </x:c>
      <x:c r="C58" s="4" t="str">
        <x:v>BraTS-GLI-02293-100</x:v>
      </x:c>
      <x:c r="D58" s="4" t="str">
        <x:v>BraTS-GLI-02293</x:v>
      </x:c>
      <x:c r="E58" s="4" t="str">
        <x:v>dualid:UCSD-PTGBM-0040</x:v>
      </x:c>
      <x:c r="F58" s="6" t="n">
        <x:v>1</x:v>
      </x:c>
      <x:c r="G58" s="4" t="str">
        <x:v>derived_from_published_243_equals_192_plus_51_partition</x:v>
      </x:c>
      <x:c r="H58" s="6" t="n">
        <x:v>62</x:v>
      </x:c>
      <x:c r="I58" s="6" t="n">
        <x:v>0</x:v>
      </x:c>
      <x:c r="J58" s="6" t="n">
        <x:v>0</x:v>
      </x:c>
      <x:c r="K58" s="4" t="str">
        <x:v>-303</x:v>
      </x:c>
      <x:c r="L58" s="6" t="n">
        <x:v>303</x:v>
      </x:c>
      <x:c r="M58" s="6" t="n">
        <x:v>5.7170277014</x:v>
      </x:c>
      <x:c r="N58" s="6" t="n">
        <x:v>0</x:v>
      </x:c>
      <x:c r="O58" s="4" t="str">
        <x:v>Glioblastoma</x:v>
      </x:c>
      <x:c r="P58" s="6" t="n">
        <x:v>5</x:v>
      </x:c>
      <x:c r="Q58" s="8" t="n">
        <x:v>0.7836863563</x:v>
      </x:c>
      <x:c r="R58" s="6" t="n">
        <x:f>IF(Q58&gt;=Scope!$B$9,1,0)</x:f>
        <x:v>1</x:v>
      </x:c>
      <x:c r="S58" s="8" t="n">
        <x:v>0.6877259627</x:v>
      </x:c>
      <x:c r="T58" s="6" t="n">
        <x:f>IF(S58&gt;=Scope!$B$9,1,0)</x:f>
        <x:v>1</x:v>
      </x:c>
      <x:c r="U58" s="8" t="n">
        <x:v>0.7853403141</x:v>
      </x:c>
      <x:c r="V58" s="6" t="n">
        <x:f>IF(U58&gt;=Scope!$B$9,1,0)</x:f>
        <x:v>1</x:v>
      </x:c>
      <x:c r="W58" s="8" t="n">
        <x:f>(F58-Q58)^2</x:f>
        <x:v>0.046791592450770525</x:v>
      </x:c>
      <x:c r="X58" s="8" t="n">
        <x:f>(F58-S58)^2</x:f>
        <x:v>0.09751507437164181</x:v>
      </x:c>
      <x:c r="Y58" s="8" t="n">
        <x:f>(F58-U58)^2</x:f>
        <x:v>0.04607878075068664</x:v>
      </x:c>
    </x:row>
    <x:row r="59" ht="28" customHeight="1">
      <x:c r="A59" s="4" t="str">
        <x:v>UCSD-PTGBM-0041_01</x:v>
      </x:c>
      <x:c r="B59" s="4" t="str">
        <x:v>UCSD-PTGBM-0041</x:v>
      </x:c>
      <x:c r="C59" s="4" t="str">
        <x:v>BraTS-GLI-02294-100</x:v>
      </x:c>
      <x:c r="D59" s="4" t="str">
        <x:v>BraTS-GLI-02294</x:v>
      </x:c>
      <x:c r="E59" s="4" t="str">
        <x:v>dualid:UCSD-PTGBM-0041</x:v>
      </x:c>
      <x:c r="F59" s="6" t="n">
        <x:v>1</x:v>
      </x:c>
      <x:c r="G59" s="4" t="str">
        <x:v>derived_from_published_243_equals_192_plus_51_partition</x:v>
      </x:c>
      <x:c r="H59" s="6" t="n">
        <x:v>56</x:v>
      </x:c>
      <x:c r="I59" s="6" t="n">
        <x:v>0</x:v>
      </x:c>
      <x:c r="J59" s="6" t="n">
        <x:v>1</x:v>
      </x:c>
      <x:c r="K59" s="4" t="str">
        <x:v>Unknown</x:v>
      </x:c>
      <x:c r="L59" s="6"/>
      <x:c r="M59" s="6"/>
      <x:c r="N59" s="6" t="n">
        <x:v>1</x:v>
      </x:c>
      <x:c r="O59" s="4" t="str">
        <x:v>Glioblastoma</x:v>
      </x:c>
      <x:c r="P59" s="6" t="n">
        <x:v>5</x:v>
      </x:c>
      <x:c r="Q59" s="8" t="n">
        <x:v>0.7491625728</x:v>
      </x:c>
      <x:c r="R59" s="6" t="n">
        <x:f>IF(Q59&gt;=Scope!$B$9,1,0)</x:f>
        <x:v>1</x:v>
      </x:c>
      <x:c r="S59" s="8" t="n">
        <x:v>0.924112217</x:v>
      </x:c>
      <x:c r="T59" s="6" t="n">
        <x:f>IF(S59&gt;=Scope!$B$9,1,0)</x:f>
        <x:v>1</x:v>
      </x:c>
      <x:c r="U59" s="8" t="n">
        <x:v>0.7853403141</x:v>
      </x:c>
      <x:c r="V59" s="6" t="n">
        <x:f>IF(U59&gt;=Scope!$B$9,1,0)</x:f>
        <x:v>1</x:v>
      </x:c>
      <x:c r="W59" s="8" t="n">
        <x:f>(F59-Q59)^2</x:f>
        <x:v>0.06291941488431531</x:v>
      </x:c>
      <x:c r="X59" s="8" t="n">
        <x:f>(F59-S59)^2</x:f>
        <x:v>0.005758955608655087</x:v>
      </x:c>
      <x:c r="Y59" s="8" t="n">
        <x:f>(F59-U59)^2</x:f>
        <x:v>0.04607878075068664</x:v>
      </x:c>
    </x:row>
    <x:row r="60" ht="28" customHeight="1">
      <x:c r="A60" s="4" t="str">
        <x:v>UCSD-PTGBM-0042_01</x:v>
      </x:c>
      <x:c r="B60" s="4" t="str">
        <x:v>UCSD-PTGBM-0042</x:v>
      </x:c>
      <x:c r="C60" s="4" t="str">
        <x:v>BraTS-GLI-02295-100</x:v>
      </x:c>
      <x:c r="D60" s="4" t="str">
        <x:v>BraTS-GLI-02295</x:v>
      </x:c>
      <x:c r="E60" s="4" t="str">
        <x:v>dualid:UCSD-PTGBM-0042</x:v>
      </x:c>
      <x:c r="F60" s="6" t="n">
        <x:v>1</x:v>
      </x:c>
      <x:c r="G60" s="4" t="str">
        <x:v>derived_from_published_243_equals_192_plus_51_partition</x:v>
      </x:c>
      <x:c r="H60" s="6" t="n">
        <x:v>29</x:v>
      </x:c>
      <x:c r="I60" s="6" t="n">
        <x:v>0</x:v>
      </x:c>
      <x:c r="J60" s="6" t="n">
        <x:v>1</x:v>
      </x:c>
      <x:c r="K60" s="4" t="str">
        <x:v>-670</x:v>
      </x:c>
      <x:c r="L60" s="6" t="n">
        <x:v>670</x:v>
      </x:c>
      <x:c r="M60" s="6" t="n">
        <x:v>6.508769137</x:v>
      </x:c>
      <x:c r="N60" s="6" t="n">
        <x:v>0</x:v>
      </x:c>
      <x:c r="O60" s="4" t="str">
        <x:v>Astrocytoma, IDH-Mutant, Grade 4</x:v>
      </x:c>
      <x:c r="P60" s="6" t="n">
        <x:v>4</x:v>
      </x:c>
      <x:c r="Q60" s="8" t="n">
        <x:v>0.5167509805</x:v>
      </x:c>
      <x:c r="R60" s="6" t="n">
        <x:f>IF(Q60&gt;=Scope!$B$9,1,0)</x:f>
        <x:v>1</x:v>
      </x:c>
      <x:c r="S60" s="8" t="n">
        <x:v>0.475109543</x:v>
      </x:c>
      <x:c r="T60" s="6" t="n">
        <x:f>IF(S60&gt;=Scope!$B$9,1,0)</x:f>
        <x:v>0</x:v>
      </x:c>
      <x:c r="U60" s="8" t="n">
        <x:v>0.7853403141</x:v>
      </x:c>
      <x:c r="V60" s="6" t="n">
        <x:f>IF(U60&gt;=Scope!$B$9,1,0)</x:f>
        <x:v>1</x:v>
      </x:c>
      <x:c r="W60" s="8" t="n">
        <x:f>(F60-Q60)^2</x:f>
        <x:v>0.23352961484771137</x:v>
      </x:c>
      <x:c r="X60" s="8" t="n">
        <x:f>(F60-S60)^2</x:f>
        <x:v>0.2755099918496688</x:v>
      </x:c>
      <x:c r="Y60" s="8" t="n">
        <x:f>(F60-U60)^2</x:f>
        <x:v>0.04607878075068664</x:v>
      </x:c>
    </x:row>
    <x:row r="61" ht="28" customHeight="1">
      <x:c r="A61" s="4" t="str">
        <x:v>UCSD-PTGBM-0042_02</x:v>
      </x:c>
      <x:c r="B61" s="4" t="str">
        <x:v>UCSD-PTGBM-0042</x:v>
      </x:c>
      <x:c r="C61" s="4" t="str">
        <x:v>BraTS-GLI-02295-101</x:v>
      </x:c>
      <x:c r="D61" s="4" t="str">
        <x:v>BraTS-GLI-02295</x:v>
      </x:c>
      <x:c r="E61" s="4" t="str">
        <x:v>dualid:UCSD-PTGBM-0042</x:v>
      </x:c>
      <x:c r="F61" s="6" t="n">
        <x:v>1</x:v>
      </x:c>
      <x:c r="G61" s="4" t="str">
        <x:v>derived_from_published_243_equals_192_plus_51_partition</x:v>
      </x:c>
      <x:c r="H61" s="6" t="n">
        <x:v>29</x:v>
      </x:c>
      <x:c r="I61" s="6" t="n">
        <x:v>0</x:v>
      </x:c>
      <x:c r="J61" s="6" t="n">
        <x:v>1</x:v>
      </x:c>
      <x:c r="K61" s="4" t="str">
        <x:v>-700</x:v>
      </x:c>
      <x:c r="L61" s="6" t="n">
        <x:v>700</x:v>
      </x:c>
      <x:c r="M61" s="6" t="n">
        <x:v>6.552507887</x:v>
      </x:c>
      <x:c r="N61" s="6" t="n">
        <x:v>0</x:v>
      </x:c>
      <x:c r="O61" s="4" t="str">
        <x:v>Astrocytoma, IDH-Mutant, Grade 4</x:v>
      </x:c>
      <x:c r="P61" s="6" t="n">
        <x:v>4</x:v>
      </x:c>
      <x:c r="Q61" s="8" t="n">
        <x:v>0.5167509805</x:v>
      </x:c>
      <x:c r="R61" s="6" t="n">
        <x:f>IF(Q61&gt;=Scope!$B$9,1,0)</x:f>
        <x:v>1</x:v>
      </x:c>
      <x:c r="S61" s="8" t="n">
        <x:v>0.4686413742</x:v>
      </x:c>
      <x:c r="T61" s="6" t="n">
        <x:f>IF(S61&gt;=Scope!$B$9,1,0)</x:f>
        <x:v>0</x:v>
      </x:c>
      <x:c r="U61" s="8" t="n">
        <x:v>0.7853403141</x:v>
      </x:c>
      <x:c r="V61" s="6" t="n">
        <x:f>IF(U61&gt;=Scope!$B$9,1,0)</x:f>
        <x:v>1</x:v>
      </x:c>
      <x:c r="W61" s="8" t="n">
        <x:f>(F61-Q61)^2</x:f>
        <x:v>0.23352961484771137</x:v>
      </x:c>
      <x:c r="X61" s="8" t="n">
        <x:f>(F61-S61)^2</x:f>
        <x:v>0.2823419892120645</x:v>
      </x:c>
      <x:c r="Y61" s="8" t="n">
        <x:f>(F61-U61)^2</x:f>
        <x:v>0.04607878075068664</x:v>
      </x:c>
    </x:row>
    <x:row r="62" ht="28" customHeight="1">
      <x:c r="A62" s="4" t="str">
        <x:v>UCSD-PTGBM-0042_03</x:v>
      </x:c>
      <x:c r="B62" s="4" t="str">
        <x:v>UCSD-PTGBM-0042</x:v>
      </x:c>
      <x:c r="C62" s="4" t="str">
        <x:v>BraTS-GLI-02295-102</x:v>
      </x:c>
      <x:c r="D62" s="4" t="str">
        <x:v>BraTS-GLI-02295</x:v>
      </x:c>
      <x:c r="E62" s="4" t="str">
        <x:v>dualid:UCSD-PTGBM-0042</x:v>
      </x:c>
      <x:c r="F62" s="6" t="n">
        <x:v>1</x:v>
      </x:c>
      <x:c r="G62" s="4" t="str">
        <x:v>derived_from_published_243_equals_192_plus_51_partition</x:v>
      </x:c>
      <x:c r="H62" s="6" t="n">
        <x:v>29</x:v>
      </x:c>
      <x:c r="I62" s="6" t="n">
        <x:v>0</x:v>
      </x:c>
      <x:c r="J62" s="6" t="n">
        <x:v>1</x:v>
      </x:c>
      <x:c r="K62" s="4" t="str">
        <x:v>-761</x:v>
      </x:c>
      <x:c r="L62" s="6" t="n">
        <x:v>761</x:v>
      </x:c>
      <x:c r="M62" s="6" t="n">
        <x:v>6.6359465557</x:v>
      </x:c>
      <x:c r="N62" s="6" t="n">
        <x:v>0</x:v>
      </x:c>
      <x:c r="O62" s="4" t="str">
        <x:v>Astrocytoma, IDH-Mutant, Grade 4</x:v>
      </x:c>
      <x:c r="P62" s="6" t="n">
        <x:v>4</x:v>
      </x:c>
      <x:c r="Q62" s="8" t="n">
        <x:v>0.5167509805</x:v>
      </x:c>
      <x:c r="R62" s="6" t="n">
        <x:f>IF(Q62&gt;=Scope!$B$9,1,0)</x:f>
        <x:v>1</x:v>
      </x:c>
      <x:c r="S62" s="8" t="n">
        <x:v>0.456333282</x:v>
      </x:c>
      <x:c r="T62" s="6" t="n">
        <x:f>IF(S62&gt;=Scope!$B$9,1,0)</x:f>
        <x:v>0</x:v>
      </x:c>
      <x:c r="U62" s="8" t="n">
        <x:v>0.7853403141</x:v>
      </x:c>
      <x:c r="V62" s="6" t="n">
        <x:f>IF(U62&gt;=Scope!$B$9,1,0)</x:f>
        <x:v>1</x:v>
      </x:c>
      <x:c r="W62" s="8" t="n">
        <x:f>(F62-Q62)^2</x:f>
        <x:v>0.23352961484771137</x:v>
      </x:c>
      <x:c r="X62" s="8" t="n">
        <x:f>(F62-S62)^2</x:f>
        <x:v>0.2955735002608915</x:v>
      </x:c>
      <x:c r="Y62" s="8" t="n">
        <x:f>(F62-U62)^2</x:f>
        <x:v>0.04607878075068664</x:v>
      </x:c>
    </x:row>
    <x:row r="63" ht="28" customHeight="1">
      <x:c r="A63" s="4" t="str">
        <x:v>UCSD-PTGBM-0043_01</x:v>
      </x:c>
      <x:c r="B63" s="4" t="str">
        <x:v>UCSD-PTGBM-0043</x:v>
      </x:c>
      <x:c r="C63" s="4" t="str">
        <x:v>BraTS-GLI-02296-100</x:v>
      </x:c>
      <x:c r="D63" s="4" t="str">
        <x:v>BraTS-GLI-02296</x:v>
      </x:c>
      <x:c r="E63" s="4" t="str">
        <x:v>dualid:UCSD-PTGBM-0043</x:v>
      </x:c>
      <x:c r="F63" s="6" t="n">
        <x:v>0</x:v>
      </x:c>
      <x:c r="G63" s="4" t="str">
        <x:v>explicit_negative_case_list</x:v>
      </x:c>
      <x:c r="H63" s="6" t="n">
        <x:v>45</x:v>
      </x:c>
      <x:c r="I63" s="6" t="n">
        <x:v>0</x:v>
      </x:c>
      <x:c r="J63" s="6" t="n">
        <x:v>1</x:v>
      </x:c>
      <x:c r="K63" s="4" t="str">
        <x:v>-680</x:v>
      </x:c>
      <x:c r="L63" s="6" t="n">
        <x:v>680</x:v>
      </x:c>
      <x:c r="M63" s="6" t="n">
        <x:v>6.5235623061</x:v>
      </x:c>
      <x:c r="N63" s="6" t="n">
        <x:v>0</x:v>
      </x:c>
      <x:c r="O63" s="4" t="str">
        <x:v>Astrocytoma, IDH-Mutant, Grade 5</x:v>
      </x:c>
      <x:c r="P63" s="6" t="n">
        <x:v>4</x:v>
      </x:c>
      <x:c r="Q63" s="8" t="n">
        <x:v>0.6463099999</x:v>
      </x:c>
      <x:c r="R63" s="6" t="n">
        <x:f>IF(Q63&gt;=Scope!$B$9,1,0)</x:f>
        <x:v>1</x:v>
      </x:c>
      <x:c r="S63" s="8" t="n">
        <x:v>0.5579434842</x:v>
      </x:c>
      <x:c r="T63" s="6" t="n">
        <x:f>IF(S63&gt;=Scope!$B$9,1,0)</x:f>
        <x:v>1</x:v>
      </x:c>
      <x:c r="U63" s="8" t="n">
        <x:v>0.7853403141</x:v>
      </x:c>
      <x:c r="V63" s="6" t="n">
        <x:f>IF(U63&gt;=Scope!$B$9,1,0)</x:f>
        <x:v>1</x:v>
      </x:c>
      <x:c r="W63" s="8" t="n">
        <x:f>(F63-Q63)^2</x:f>
        <x:v>0.41771661597073806</x:v>
      </x:c>
      <x:c r="X63" s="8" t="n">
        <x:f>(F63-S63)^2</x:f>
        <x:v>0.3113009315612356</x:v>
      </x:c>
      <x:c r="Y63" s="8" t="n">
        <x:f>(F63-U63)^2</x:f>
        <x:v>0.6167594089506867</x:v>
      </x:c>
    </x:row>
    <x:row r="64" ht="28" customHeight="1">
      <x:c r="A64" s="4" t="str">
        <x:v>UCSD-PTGBM-0044_01</x:v>
      </x:c>
      <x:c r="B64" s="4" t="str">
        <x:v>UCSD-PTGBM-0044</x:v>
      </x:c>
      <x:c r="C64" s="4" t="str">
        <x:v>BraTS-GLI-02297-100</x:v>
      </x:c>
      <x:c r="D64" s="4" t="str">
        <x:v>BraTS-GLI-02297</x:v>
      </x:c>
      <x:c r="E64" s="4" t="str">
        <x:v>dualid:UCSD-PTGBM-0044</x:v>
      </x:c>
      <x:c r="F64" s="6" t="n">
        <x:v>1</x:v>
      </x:c>
      <x:c r="G64" s="4" t="str">
        <x:v>derived_from_published_243_equals_192_plus_51_partition</x:v>
      </x:c>
      <x:c r="H64" s="6" t="n">
        <x:v>54</x:v>
      </x:c>
      <x:c r="I64" s="6" t="n">
        <x:v>0</x:v>
      </x:c>
      <x:c r="J64" s="6" t="n">
        <x:v>1</x:v>
      </x:c>
      <x:c r="K64" s="4" t="str">
        <x:v>-1037</x:v>
      </x:c>
      <x:c r="L64" s="6" t="n">
        <x:v>1037</x:v>
      </x:c>
      <x:c r="M64" s="6" t="n">
        <x:v>6.9450510637</x:v>
      </x:c>
      <x:c r="N64" s="6" t="n">
        <x:v>0</x:v>
      </x:c>
      <x:c r="O64" s="4" t="str">
        <x:v>Glioblastoma</x:v>
      </x:c>
      <x:c r="P64" s="6" t="n">
        <x:v>3</x:v>
      </x:c>
      <x:c r="Q64" s="8" t="n">
        <x:v>0.7422064737</x:v>
      </x:c>
      <x:c r="R64" s="6" t="n">
        <x:f>IF(Q64&gt;=Scope!$B$9,1,0)</x:f>
        <x:v>1</x:v>
      </x:c>
      <x:c r="S64" s="8" t="n">
        <x:v>0.6305065977</x:v>
      </x:c>
      <x:c r="T64" s="6" t="n">
        <x:f>IF(S64&gt;=Scope!$B$9,1,0)</x:f>
        <x:v>1</x:v>
      </x:c>
      <x:c r="U64" s="8" t="n">
        <x:v>0.7853403141</x:v>
      </x:c>
      <x:c r="V64" s="6" t="n">
        <x:f>IF(U64&gt;=Scope!$B$9,1,0)</x:f>
        <x:v>1</x:v>
      </x:c>
      <x:c r="W64" s="8" t="n">
        <x:f>(F64-Q64)^2</x:f>
        <x:v>0.06645750220218877</x:v>
      </x:c>
      <x:c r="X64" s="8" t="n">
        <x:f>(F64-S64)^2</x:f>
        <x:v>0.13652537434322967</x:v>
      </x:c>
      <x:c r="Y64" s="8" t="n">
        <x:f>(F64-U64)^2</x:f>
        <x:v>0.04607878075068664</x:v>
      </x:c>
    </x:row>
    <x:row r="65" ht="28" customHeight="1">
      <x:c r="A65" s="4" t="str">
        <x:v>UCSD-PTGBM-0045_01</x:v>
      </x:c>
      <x:c r="B65" s="4" t="str">
        <x:v>UCSD-PTGBM-0045</x:v>
      </x:c>
      <x:c r="C65" s="4" t="str">
        <x:v>BraTS-GLI-02298-100</x:v>
      </x:c>
      <x:c r="D65" s="4" t="str">
        <x:v>BraTS-GLI-02298</x:v>
      </x:c>
      <x:c r="E65" s="4" t="str">
        <x:v>dualid:UCSD-PTGBM-0045</x:v>
      </x:c>
      <x:c r="F65" s="6" t="n">
        <x:v>1</x:v>
      </x:c>
      <x:c r="G65" s="4" t="str">
        <x:v>derived_from_published_243_equals_192_plus_51_partition</x:v>
      </x:c>
      <x:c r="H65" s="6" t="n">
        <x:v>62</x:v>
      </x:c>
      <x:c r="I65" s="6" t="n">
        <x:v>0</x:v>
      </x:c>
      <x:c r="J65" s="6" t="n">
        <x:v>1</x:v>
      </x:c>
      <x:c r="K65" s="4" t="str">
        <x:v>-302</x:v>
      </x:c>
      <x:c r="L65" s="6" t="n">
        <x:v>302</x:v>
      </x:c>
      <x:c r="M65" s="6" t="n">
        <x:v>5.7137328055</x:v>
      </x:c>
      <x:c r="N65" s="6" t="n">
        <x:v>0</x:v>
      </x:c>
      <x:c r="O65" s="4" t="str">
        <x:v>Glioblastoma</x:v>
      </x:c>
      <x:c r="P65" s="6" t="n">
        <x:v>4</x:v>
      </x:c>
      <x:c r="Q65" s="8" t="n">
        <x:v>0.763538332</x:v>
      </x:c>
      <x:c r="R65" s="6" t="n">
        <x:f>IF(Q65&gt;=Scope!$B$9,1,0)</x:f>
        <x:v>1</x:v>
      </x:c>
      <x:c r="S65" s="8" t="n">
        <x:v>0.7457275358</x:v>
      </x:c>
      <x:c r="T65" s="6" t="n">
        <x:f>IF(S65&gt;=Scope!$B$9,1,0)</x:f>
        <x:v>1</x:v>
      </x:c>
      <x:c r="U65" s="8" t="n">
        <x:v>0.7853403141</x:v>
      </x:c>
      <x:c r="V65" s="6" t="n">
        <x:f>IF(U65&gt;=Scope!$B$9,1,0)</x:f>
        <x:v>1</x:v>
      </x:c>
      <x:c r="W65" s="8" t="n">
        <x:f>(F65-Q65)^2</x:f>
        <x:v>0.05591412043334223</x:v>
      </x:c>
      <x:c r="X65" s="8" t="n">
        <x:f>(F65-S65)^2</x:f>
        <x:v>0.06465448605034031</x:v>
      </x:c>
      <x:c r="Y65" s="8" t="n">
        <x:f>(F65-U65)^2</x:f>
        <x:v>0.04607878075068664</x:v>
      </x:c>
    </x:row>
    <x:row r="66" ht="28" customHeight="1">
      <x:c r="A66" s="4" t="str">
        <x:v>UCSD-PTGBM-0046_01</x:v>
      </x:c>
      <x:c r="B66" s="4" t="str">
        <x:v>UCSD-PTGBM-0046</x:v>
      </x:c>
      <x:c r="C66" s="4" t="str">
        <x:v>BraTS-GLI-02299-100</x:v>
      </x:c>
      <x:c r="D66" s="4" t="str">
        <x:v>BraTS-GLI-02299</x:v>
      </x:c>
      <x:c r="E66" s="4" t="str">
        <x:v>dualid:UCSD-PTGBM-0046</x:v>
      </x:c>
      <x:c r="F66" s="6" t="n">
        <x:v>1</x:v>
      </x:c>
      <x:c r="G66" s="4" t="str">
        <x:v>derived_from_published_243_equals_192_plus_51_partition</x:v>
      </x:c>
      <x:c r="H66" s="6" t="n">
        <x:v>45</x:v>
      </x:c>
      <x:c r="I66" s="6" t="n">
        <x:v>0</x:v>
      </x:c>
      <x:c r="J66" s="6" t="n">
        <x:v>0</x:v>
      </x:c>
      <x:c r="K66" s="4" t="str">
        <x:v>-357</x:v>
      </x:c>
      <x:c r="L66" s="6" t="n">
        <x:v>357</x:v>
      </x:c>
      <x:c r="M66" s="6" t="n">
        <x:v>5.8805329864</x:v>
      </x:c>
      <x:c r="N66" s="6" t="n">
        <x:v>0</x:v>
      </x:c>
      <x:c r="O66" s="4" t="str">
        <x:v>Astrocytoma, IDH-Mutant, Grade 4</x:v>
      </x:c>
      <x:c r="P66" s="6" t="n">
        <x:v>2</x:v>
      </x:c>
      <x:c r="Q66" s="8" t="n">
        <x:v>0.696109113</x:v>
      </x:c>
      <x:c r="R66" s="6" t="n">
        <x:f>IF(Q66&gt;=Scope!$B$9,1,0)</x:f>
        <x:v>1</x:v>
      </x:c>
      <x:c r="S66" s="8" t="n">
        <x:v>0.6159655905</x:v>
      </x:c>
      <x:c r="T66" s="6" t="n">
        <x:f>IF(S66&gt;=Scope!$B$9,1,0)</x:f>
        <x:v>1</x:v>
      </x:c>
      <x:c r="U66" s="8" t="n">
        <x:v>0.7883597884</x:v>
      </x:c>
      <x:c r="V66" s="6" t="n">
        <x:f>IF(U66&gt;=Scope!$B$9,1,0)</x:f>
        <x:v>1</x:v>
      </x:c>
      <x:c r="W66" s="8" t="n">
        <x:f>(F66-Q66)^2</x:f>
        <x:v>0.09234967120164676</x:v>
      </x:c>
      <x:c r="X66" s="8" t="n">
        <x:f>(F66-S66)^2</x:f>
        <x:v>0.14748242768001368</x:v>
      </x:c>
      <x:c r="Y66" s="8" t="n">
        <x:f>(F66-U66)^2</x:f>
        <x:v>0.04479157916609278</x:v>
      </x:c>
    </x:row>
    <x:row r="67" ht="28" customHeight="1">
      <x:c r="A67" s="4" t="str">
        <x:v>UCSD-PTGBM-0047_01</x:v>
      </x:c>
      <x:c r="B67" s="4" t="str">
        <x:v>UCSD-PTGBM-0047</x:v>
      </x:c>
      <x:c r="C67" s="4" t="str">
        <x:v>BraTS-GLI-02300-100</x:v>
      </x:c>
      <x:c r="D67" s="4" t="str">
        <x:v>BraTS-GLI-02300</x:v>
      </x:c>
      <x:c r="E67" s="4" t="str">
        <x:v>dualid:UCSD-PTGBM-0047</x:v>
      </x:c>
      <x:c r="F67" s="6" t="n">
        <x:v>1</x:v>
      </x:c>
      <x:c r="G67" s="4" t="str">
        <x:v>derived_from_published_243_equals_192_plus_51_partition</x:v>
      </x:c>
      <x:c r="H67" s="6" t="n">
        <x:v>58</x:v>
      </x:c>
      <x:c r="I67" s="6" t="n">
        <x:v>0</x:v>
      </x:c>
      <x:c r="J67" s="6" t="n">
        <x:v>0</x:v>
      </x:c>
      <x:c r="K67" s="4" t="str">
        <x:v>-157</x:v>
      </x:c>
      <x:c r="L67" s="6" t="n">
        <x:v>157</x:v>
      </x:c>
      <x:c r="M67" s="6" t="n">
        <x:v>5.062595033</x:v>
      </x:c>
      <x:c r="N67" s="6" t="n">
        <x:v>0</x:v>
      </x:c>
      <x:c r="O67" s="4" t="str">
        <x:v>Glioblastoma</x:v>
      </x:c>
      <x:c r="P67" s="6" t="n">
        <x:v>5</x:v>
      </x:c>
      <x:c r="Q67" s="8" t="n">
        <x:v>0.761064987</x:v>
      </x:c>
      <x:c r="R67" s="6" t="n">
        <x:f>IF(Q67&gt;=Scope!$B$9,1,0)</x:f>
        <x:v>1</x:v>
      </x:c>
      <x:c r="S67" s="8" t="n">
        <x:v>0.7370450427</x:v>
      </x:c>
      <x:c r="T67" s="6" t="n">
        <x:f>IF(S67&gt;=Scope!$B$9,1,0)</x:f>
        <x:v>1</x:v>
      </x:c>
      <x:c r="U67" s="8" t="n">
        <x:v>0.7853403141</x:v>
      </x:c>
      <x:c r="V67" s="6" t="n">
        <x:f>IF(U67&gt;=Scope!$B$9,1,0)</x:f>
        <x:v>1</x:v>
      </x:c>
      <x:c r="W67" s="8" t="n">
        <x:f>(F67-Q67)^2</x:f>
        <x:v>0.05708994043731016</x:v>
      </x:c>
      <x:c r="X67" s="8" t="n">
        <x:f>(F67-S67)^2</x:f>
        <x:v>0.0691453095686448</x:v>
      </x:c>
      <x:c r="Y67" s="8" t="n">
        <x:f>(F67-U67)^2</x:f>
        <x:v>0.04607878075068664</x:v>
      </x:c>
    </x:row>
    <x:row r="68" ht="28" customHeight="1">
      <x:c r="A68" s="4" t="str">
        <x:v>UCSD-PTGBM-0047_02</x:v>
      </x:c>
      <x:c r="B68" s="4" t="str">
        <x:v>UCSD-PTGBM-0047</x:v>
      </x:c>
      <x:c r="C68" s="4" t="str">
        <x:v>BraTS-GLI-02300-101</x:v>
      </x:c>
      <x:c r="D68" s="4" t="str">
        <x:v>BraTS-GLI-02300</x:v>
      </x:c>
      <x:c r="E68" s="4" t="str">
        <x:v>dualid:UCSD-PTGBM-0047</x:v>
      </x:c>
      <x:c r="F68" s="6" t="n">
        <x:v>1</x:v>
      </x:c>
      <x:c r="G68" s="4" t="str">
        <x:v>derived_from_published_243_equals_192_plus_51_partition</x:v>
      </x:c>
      <x:c r="H68" s="6" t="n">
        <x:v>58</x:v>
      </x:c>
      <x:c r="I68" s="6" t="n">
        <x:v>0</x:v>
      </x:c>
      <x:c r="J68" s="6" t="n">
        <x:v>0</x:v>
      </x:c>
      <x:c r="K68" s="4" t="str">
        <x:v>-360</x:v>
      </x:c>
      <x:c r="L68" s="6" t="n">
        <x:v>360</x:v>
      </x:c>
      <x:c r="M68" s="6" t="n">
        <x:v>5.8888779583</x:v>
      </x:c>
      <x:c r="N68" s="6" t="n">
        <x:v>0</x:v>
      </x:c>
      <x:c r="O68" s="4" t="str">
        <x:v>Glioblastoma</x:v>
      </x:c>
      <x:c r="P68" s="6" t="n">
        <x:v>5</x:v>
      </x:c>
      <x:c r="Q68" s="8" t="n">
        <x:v>0.761064987</x:v>
      </x:c>
      <x:c r="R68" s="6" t="n">
        <x:f>IF(Q68&gt;=Scope!$B$9,1,0)</x:f>
        <x:v>1</x:v>
      </x:c>
      <x:c r="S68" s="8" t="n">
        <x:v>0.652032532</x:v>
      </x:c>
      <x:c r="T68" s="6" t="n">
        <x:f>IF(S68&gt;=Scope!$B$9,1,0)</x:f>
        <x:v>1</x:v>
      </x:c>
      <x:c r="U68" s="8" t="n">
        <x:v>0.7853403141</x:v>
      </x:c>
      <x:c r="V68" s="6" t="n">
        <x:f>IF(U68&gt;=Scope!$B$9,1,0)</x:f>
        <x:v>1</x:v>
      </x:c>
      <x:c r="W68" s="8" t="n">
        <x:f>(F68-Q68)^2</x:f>
        <x:v>0.05708994043731016</x:v>
      </x:c>
      <x:c r="X68" s="8" t="n">
        <x:f>(F68-S68)^2</x:f>
        <x:v>0.12108135878633103</x:v>
      </x:c>
      <x:c r="Y68" s="8" t="n">
        <x:f>(F68-U68)^2</x:f>
        <x:v>0.04607878075068664</x:v>
      </x:c>
    </x:row>
    <x:row r="69" ht="28" customHeight="1">
      <x:c r="A69" s="4" t="str">
        <x:v>UCSD-PTGBM-0048_01</x:v>
      </x:c>
      <x:c r="B69" s="4" t="str">
        <x:v>UCSD-PTGBM-0048</x:v>
      </x:c>
      <x:c r="C69" s="4" t="str">
        <x:v>BraTS-GLI-02301-100</x:v>
      </x:c>
      <x:c r="D69" s="4" t="str">
        <x:v>BraTS-GLI-02301</x:v>
      </x:c>
      <x:c r="E69" s="4" t="str">
        <x:v>dualid:UCSD-PTGBM-0048</x:v>
      </x:c>
      <x:c r="F69" s="6" t="n">
        <x:v>1</x:v>
      </x:c>
      <x:c r="G69" s="4" t="str">
        <x:v>derived_from_published_243_equals_192_plus_51_partition</x:v>
      </x:c>
      <x:c r="H69" s="6" t="n">
        <x:v>60</x:v>
      </x:c>
      <x:c r="I69" s="6" t="n">
        <x:v>0</x:v>
      </x:c>
      <x:c r="J69" s="6" t="n">
        <x:v>0</x:v>
      </x:c>
      <x:c r="K69" s="4" t="str">
        <x:v>-788</x:v>
      </x:c>
      <x:c r="L69" s="6" t="n">
        <x:v>788</x:v>
      </x:c>
      <x:c r="M69" s="6" t="n">
        <x:v>6.6707663209</x:v>
      </x:c>
      <x:c r="N69" s="6" t="n">
        <x:v>0</x:v>
      </x:c>
      <x:c r="O69" s="4" t="str">
        <x:v>Glioblastoma</x:v>
      </x:c>
      <x:c r="P69" s="6" t="n">
        <x:v>3</x:v>
      </x:c>
      <x:c r="Q69" s="8" t="n">
        <x:v>0.7720731657</x:v>
      </x:c>
      <x:c r="R69" s="6" t="n">
        <x:f>IF(Q69&gt;=Scope!$B$9,1,0)</x:f>
        <x:v>1</x:v>
      </x:c>
      <x:c r="S69" s="8" t="n">
        <x:v>0.5352724833</x:v>
      </x:c>
      <x:c r="T69" s="6" t="n">
        <x:f>IF(S69&gt;=Scope!$B$9,1,0)</x:f>
        <x:v>1</x:v>
      </x:c>
      <x:c r="U69" s="8" t="n">
        <x:v>0.7853403141</x:v>
      </x:c>
      <x:c r="V69" s="6" t="n">
        <x:f>IF(U69&gt;=Scope!$B$9,1,0)</x:f>
        <x:v>1</x:v>
      </x:c>
      <x:c r="W69" s="8" t="n">
        <x:f>(F69-Q69)^2</x:f>
        <x:v>0.051950641794019675</x:v>
      </x:c>
      <x:c r="X69" s="8" t="n">
        <x:f>(F69-S69)^2</x:f>
        <x:v>0.21597166477814878</x:v>
      </x:c>
      <x:c r="Y69" s="8" t="n">
        <x:f>(F69-U69)^2</x:f>
        <x:v>0.04607878075068664</x:v>
      </x:c>
    </x:row>
    <x:row r="70" ht="28" customHeight="1">
      <x:c r="A70" s="4" t="str">
        <x:v>UCSD-PTGBM-0048_02</x:v>
      </x:c>
      <x:c r="B70" s="4" t="str">
        <x:v>UCSD-PTGBM-0048</x:v>
      </x:c>
      <x:c r="C70" s="4" t="str">
        <x:v>BraTS-GLI-02301-101</x:v>
      </x:c>
      <x:c r="D70" s="4" t="str">
        <x:v>BraTS-GLI-02301</x:v>
      </x:c>
      <x:c r="E70" s="4" t="str">
        <x:v>dualid:UCSD-PTGBM-0048</x:v>
      </x:c>
      <x:c r="F70" s="6" t="n">
        <x:v>1</x:v>
      </x:c>
      <x:c r="G70" s="4" t="str">
        <x:v>derived_from_published_243_equals_192_plus_51_partition</x:v>
      </x:c>
      <x:c r="H70" s="6" t="n">
        <x:v>60</x:v>
      </x:c>
      <x:c r="I70" s="6" t="n">
        <x:v>0</x:v>
      </x:c>
      <x:c r="J70" s="6" t="n">
        <x:v>0</x:v>
      </x:c>
      <x:c r="K70" s="4" t="str">
        <x:v>-841</x:v>
      </x:c>
      <x:c r="L70" s="6" t="n">
        <x:v>841</x:v>
      </x:c>
      <x:c r="M70" s="6" t="n">
        <x:v>6.7357800142</x:v>
      </x:c>
      <x:c r="N70" s="6" t="n">
        <x:v>0</x:v>
      </x:c>
      <x:c r="O70" s="4" t="str">
        <x:v>Glioblastoma</x:v>
      </x:c>
      <x:c r="P70" s="6" t="n">
        <x:v>3</x:v>
      </x:c>
      <x:c r="Q70" s="8" t="n">
        <x:v>0.7720731657</x:v>
      </x:c>
      <x:c r="R70" s="6" t="n">
        <x:f>IF(Q70&gt;=Scope!$B$9,1,0)</x:f>
        <x:v>1</x:v>
      </x:c>
      <x:c r="S70" s="8" t="n">
        <x:v>0.5269119548</x:v>
      </x:c>
      <x:c r="T70" s="6" t="n">
        <x:f>IF(S70&gt;=Scope!$B$9,1,0)</x:f>
        <x:v>1</x:v>
      </x:c>
      <x:c r="U70" s="8" t="n">
        <x:v>0.7853403141</x:v>
      </x:c>
      <x:c r="V70" s="6" t="n">
        <x:f>IF(U70&gt;=Scope!$B$9,1,0)</x:f>
        <x:v>1</x:v>
      </x:c>
      <x:c r="W70" s="8" t="n">
        <x:f>(F70-Q70)^2</x:f>
        <x:v>0.051950641794019675</x:v>
      </x:c>
      <x:c r="X70" s="8" t="n">
        <x:f>(F70-S70)^2</x:f>
        <x:v>0.22381229851115728</x:v>
      </x:c>
      <x:c r="Y70" s="8" t="n">
        <x:f>(F70-U70)^2</x:f>
        <x:v>0.04607878075068664</x:v>
      </x:c>
    </x:row>
    <x:row r="71" ht="28" customHeight="1">
      <x:c r="A71" s="4" t="str">
        <x:v>UCSD-PTGBM-0048_03</x:v>
      </x:c>
      <x:c r="B71" s="4" t="str">
        <x:v>UCSD-PTGBM-0048</x:v>
      </x:c>
      <x:c r="C71" s="4" t="str">
        <x:v>BraTS-GLI-02301-102</x:v>
      </x:c>
      <x:c r="D71" s="4" t="str">
        <x:v>BraTS-GLI-02301</x:v>
      </x:c>
      <x:c r="E71" s="4" t="str">
        <x:v>dualid:UCSD-PTGBM-0048</x:v>
      </x:c>
      <x:c r="F71" s="6" t="n">
        <x:v>1</x:v>
      </x:c>
      <x:c r="G71" s="4" t="str">
        <x:v>derived_from_published_243_equals_192_plus_51_partition</x:v>
      </x:c>
      <x:c r="H71" s="6" t="n">
        <x:v>60</x:v>
      </x:c>
      <x:c r="I71" s="6" t="n">
        <x:v>0</x:v>
      </x:c>
      <x:c r="J71" s="6" t="n">
        <x:v>0</x:v>
      </x:c>
      <x:c r="K71" s="4" t="str">
        <x:v>-887</x:v>
      </x:c>
      <x:c r="L71" s="6" t="n">
        <x:v>887</x:v>
      </x:c>
      <x:c r="M71" s="6" t="n">
        <x:v>6.788971743</x:v>
      </x:c>
      <x:c r="N71" s="6" t="n">
        <x:v>0</x:v>
      </x:c>
      <x:c r="O71" s="4" t="str">
        <x:v>Glioblastoma</x:v>
      </x:c>
      <x:c r="P71" s="6" t="n">
        <x:v>3</x:v>
      </x:c>
      <x:c r="Q71" s="8" t="n">
        <x:v>0.7720731657</x:v>
      </x:c>
      <x:c r="R71" s="6" t="n">
        <x:f>IF(Q71&gt;=Scope!$B$9,1,0)</x:f>
        <x:v>1</x:v>
      </x:c>
      <x:c r="S71" s="8" t="n">
        <x:v>0.5200602319</x:v>
      </x:c>
      <x:c r="T71" s="6" t="n">
        <x:f>IF(S71&gt;=Scope!$B$9,1,0)</x:f>
        <x:v>1</x:v>
      </x:c>
      <x:c r="U71" s="8" t="n">
        <x:v>0.7853403141</x:v>
      </x:c>
      <x:c r="V71" s="6" t="n">
        <x:f>IF(U71&gt;=Scope!$B$9,1,0)</x:f>
        <x:v>1</x:v>
      </x:c>
      <x:c r="W71" s="8" t="n">
        <x:f>(F71-Q71)^2</x:f>
        <x:v>0.051950641794019675</x:v>
      </x:c>
      <x:c r="X71" s="8" t="n">
        <x:f>(F71-S71)^2</x:f>
        <x:v>0.23034218100388182</x:v>
      </x:c>
      <x:c r="Y71" s="8" t="n">
        <x:f>(F71-U71)^2</x:f>
        <x:v>0.04607878075068664</x:v>
      </x:c>
    </x:row>
    <x:row r="72" ht="28" customHeight="1">
      <x:c r="A72" s="4" t="str">
        <x:v>UCSD-PTGBM-0049_01</x:v>
      </x:c>
      <x:c r="B72" s="4" t="str">
        <x:v>UCSD-PTGBM-0049</x:v>
      </x:c>
      <x:c r="C72" s="4" t="str">
        <x:v>BraTS-GLI-02302-100</x:v>
      </x:c>
      <x:c r="D72" s="4" t="str">
        <x:v>BraTS-GLI-02302</x:v>
      </x:c>
      <x:c r="E72" s="4" t="str">
        <x:v>dualid:UCSD-PTGBM-0049</x:v>
      </x:c>
      <x:c r="F72" s="6" t="n">
        <x:v>0</x:v>
      </x:c>
      <x:c r="G72" s="4" t="str">
        <x:v>explicit_negative_case_list</x:v>
      </x:c>
      <x:c r="H72" s="6" t="n">
        <x:v>53</x:v>
      </x:c>
      <x:c r="I72" s="6" t="n">
        <x:v>1</x:v>
      </x:c>
      <x:c r="J72" s="6" t="n">
        <x:v>0</x:v>
      </x:c>
      <x:c r="K72" s="4" t="str">
        <x:v>-1313</x:v>
      </x:c>
      <x:c r="L72" s="6" t="n">
        <x:v>1313</x:v>
      </x:c>
      <x:c r="M72" s="6" t="n">
        <x:v>7.180831199</x:v>
      </x:c>
      <x:c r="N72" s="6" t="n">
        <x:v>0</x:v>
      </x:c>
      <x:c r="O72" s="4" t="str">
        <x:v>Glioblastoma</x:v>
      </x:c>
      <x:c r="P72" s="6" t="n">
        <x:v>5</x:v>
      </x:c>
      <x:c r="Q72" s="8" t="n">
        <x:v>0.8015288367</x:v>
      </x:c>
      <x:c r="R72" s="6" t="n">
        <x:f>IF(Q72&gt;=Scope!$B$9,1,0)</x:f>
        <x:v>1</x:v>
      </x:c>
      <x:c r="S72" s="8" t="n">
        <x:v>0.5239624244</x:v>
      </x:c>
      <x:c r="T72" s="6" t="n">
        <x:f>IF(S72&gt;=Scope!$B$9,1,0)</x:f>
        <x:v>1</x:v>
      </x:c>
      <x:c r="U72" s="8" t="n">
        <x:v>0.7853403141</x:v>
      </x:c>
      <x:c r="V72" s="6" t="n">
        <x:f>IF(U72&gt;=Scope!$B$9,1,0)</x:f>
        <x:v>1</x:v>
      </x:c>
      <x:c r="W72" s="8" t="n">
        <x:f>(F72-Q72)^2</x:f>
        <x:v>0.6424484760616552</x:v>
      </x:c>
      <x:c r="X72" s="8" t="n">
        <x:f>(F72-S72)^2</x:f>
        <x:v>0.2745366221831257</x:v>
      </x:c>
      <x:c r="Y72" s="8" t="n">
        <x:f>(F72-U72)^2</x:f>
        <x:v>0.6167594089506867</x:v>
      </x:c>
    </x:row>
    <x:row r="73" ht="28" customHeight="1">
      <x:c r="A73" s="4" t="str">
        <x:v>UCSD-PTGBM-0050_01</x:v>
      </x:c>
      <x:c r="B73" s="4" t="str">
        <x:v>UCSD-PTGBM-0050</x:v>
      </x:c>
      <x:c r="C73" s="4" t="str">
        <x:v>BraTS-GLI-02303-100</x:v>
      </x:c>
      <x:c r="D73" s="4" t="str">
        <x:v>BraTS-GLI-02303</x:v>
      </x:c>
      <x:c r="E73" s="4" t="str">
        <x:v>dualid:UCSD-PTGBM-0050</x:v>
      </x:c>
      <x:c r="F73" s="6" t="n">
        <x:v>1</x:v>
      </x:c>
      <x:c r="G73" s="4" t="str">
        <x:v>derived_from_published_243_equals_192_plus_51_partition</x:v>
      </x:c>
      <x:c r="H73" s="6" t="n">
        <x:v>53</x:v>
      </x:c>
      <x:c r="I73" s="6" t="n">
        <x:v>1</x:v>
      </x:c>
      <x:c r="J73" s="6" t="n">
        <x:v>0</x:v>
      </x:c>
      <x:c r="K73" s="4" t="str">
        <x:v>-37</x:v>
      </x:c>
      <x:c r="L73" s="6" t="n">
        <x:v>37</x:v>
      </x:c>
      <x:c r="M73" s="6" t="n">
        <x:v>3.6375861597</x:v>
      </x:c>
      <x:c r="N73" s="6" t="n">
        <x:v>0</x:v>
      </x:c>
      <x:c r="O73" s="4" t="str">
        <x:v>Glioblastoma</x:v>
      </x:c>
      <x:c r="P73" s="6" t="n">
        <x:v>2</x:v>
      </x:c>
      <x:c r="Q73" s="8" t="n">
        <x:v>0.8001013788</x:v>
      </x:c>
      <x:c r="R73" s="6" t="n">
        <x:f>IF(Q73&gt;=Scope!$B$9,1,0)</x:f>
        <x:v>1</x:v>
      </x:c>
      <x:c r="S73" s="8" t="n">
        <x:v>0.8377569022</x:v>
      </x:c>
      <x:c r="T73" s="6" t="n">
        <x:f>IF(S73&gt;=Scope!$B$9,1,0)</x:f>
        <x:v>1</x:v>
      </x:c>
      <x:c r="U73" s="8" t="n">
        <x:v>0.7883597884</x:v>
      </x:c>
      <x:c r="V73" s="6" t="n">
        <x:f>IF(U73&gt;=Scope!$B$9,1,0)</x:f>
        <x:v>1</x:v>
      </x:c>
      <x:c r="W73" s="8" t="n">
        <x:f>(F73-Q73)^2</x:f>
        <x:v>0.0399594587576611</x:v>
      </x:c>
      <x:c r="X73" s="8" t="n">
        <x:f>(F73-S73)^2</x:f>
        <x:v>0.02632282278374037</x:v>
      </x:c>
      <x:c r="Y73" s="8" t="n">
        <x:f>(F73-U73)^2</x:f>
        <x:v>0.04479157916609278</x:v>
      </x:c>
    </x:row>
    <x:row r="74" ht="28" customHeight="1">
      <x:c r="A74" s="4" t="str">
        <x:v>UCSD-PTGBM-0050_02</x:v>
      </x:c>
      <x:c r="B74" s="4" t="str">
        <x:v>UCSD-PTGBM-0050</x:v>
      </x:c>
      <x:c r="C74" s="4" t="str">
        <x:v>BraTS-GLI-02303-101</x:v>
      </x:c>
      <x:c r="D74" s="4" t="str">
        <x:v>BraTS-GLI-02303</x:v>
      </x:c>
      <x:c r="E74" s="4" t="str">
        <x:v>dualid:UCSD-PTGBM-0050</x:v>
      </x:c>
      <x:c r="F74" s="6" t="n">
        <x:v>1</x:v>
      </x:c>
      <x:c r="G74" s="4" t="str">
        <x:v>derived_from_published_243_equals_192_plus_51_partition</x:v>
      </x:c>
      <x:c r="H74" s="6" t="n">
        <x:v>53</x:v>
      </x:c>
      <x:c r="I74" s="6" t="n">
        <x:v>1</x:v>
      </x:c>
      <x:c r="J74" s="6" t="n">
        <x:v>0</x:v>
      </x:c>
      <x:c r="K74" s="4" t="str">
        <x:v>-129</x:v>
      </x:c>
      <x:c r="L74" s="6" t="n">
        <x:v>129</x:v>
      </x:c>
      <x:c r="M74" s="6" t="n">
        <x:v>4.8675344505</x:v>
      </x:c>
      <x:c r="N74" s="6" t="n">
        <x:v>0</x:v>
      </x:c>
      <x:c r="O74" s="4" t="str">
        <x:v>Glioblastoma</x:v>
      </x:c>
      <x:c r="P74" s="6" t="n">
        <x:v>2</x:v>
      </x:c>
      <x:c r="Q74" s="8" t="n">
        <x:v>0.8001013788</x:v>
      </x:c>
      <x:c r="R74" s="6" t="n">
        <x:f>IF(Q74&gt;=Scope!$B$9,1,0)</x:f>
        <x:v>1</x:v>
      </x:c>
      <x:c r="S74" s="8" t="n">
        <x:v>0.7641174921</x:v>
      </x:c>
      <x:c r="T74" s="6" t="n">
        <x:f>IF(S74&gt;=Scope!$B$9,1,0)</x:f>
        <x:v>1</x:v>
      </x:c>
      <x:c r="U74" s="8" t="n">
        <x:v>0.7883597884</x:v>
      </x:c>
      <x:c r="V74" s="6" t="n">
        <x:f>IF(U74&gt;=Scope!$B$9,1,0)</x:f>
        <x:v>1</x:v>
      </x:c>
      <x:c r="W74" s="8" t="n">
        <x:f>(F74-Q74)^2</x:f>
        <x:v>0.0399594587576611</x:v>
      </x:c>
      <x:c r="X74" s="8" t="n">
        <x:f>(F74-S74)^2</x:f>
        <x:v>0.05564055753319355</x:v>
      </x:c>
      <x:c r="Y74" s="8" t="n">
        <x:f>(F74-U74)^2</x:f>
        <x:v>0.04479157916609278</x:v>
      </x:c>
    </x:row>
    <x:row r="75" ht="28" customHeight="1">
      <x:c r="A75" s="4" t="str">
        <x:v>UCSD-PTGBM-0050_03</x:v>
      </x:c>
      <x:c r="B75" s="4" t="str">
        <x:v>UCSD-PTGBM-0050</x:v>
      </x:c>
      <x:c r="C75" s="4" t="str">
        <x:v>BraTS-GLI-02303-102</x:v>
      </x:c>
      <x:c r="D75" s="4" t="str">
        <x:v>BraTS-GLI-02303</x:v>
      </x:c>
      <x:c r="E75" s="4" t="str">
        <x:v>dualid:UCSD-PTGBM-0050</x:v>
      </x:c>
      <x:c r="F75" s="6" t="n">
        <x:v>1</x:v>
      </x:c>
      <x:c r="G75" s="4" t="str">
        <x:v>derived_from_published_243_equals_192_plus_51_partition</x:v>
      </x:c>
      <x:c r="H75" s="6" t="n">
        <x:v>53</x:v>
      </x:c>
      <x:c r="I75" s="6" t="n">
        <x:v>1</x:v>
      </x:c>
      <x:c r="J75" s="6" t="n">
        <x:v>0</x:v>
      </x:c>
      <x:c r="K75" s="4" t="str">
        <x:v>-168</x:v>
      </x:c>
      <x:c r="L75" s="6" t="n">
        <x:v>168</x:v>
      </x:c>
      <x:c r="M75" s="6" t="n">
        <x:v>5.1298987149</x:v>
      </x:c>
      <x:c r="N75" s="6" t="n">
        <x:v>0</x:v>
      </x:c>
      <x:c r="O75" s="4" t="str">
        <x:v>Glioblastoma</x:v>
      </x:c>
      <x:c r="P75" s="6" t="n">
        <x:v>2</x:v>
      </x:c>
      <x:c r="Q75" s="8" t="n">
        <x:v>0.8001013788</x:v>
      </x:c>
      <x:c r="R75" s="6" t="n">
        <x:f>IF(Q75&gt;=Scope!$B$9,1,0)</x:f>
        <x:v>1</x:v>
      </x:c>
      <x:c r="S75" s="8" t="n">
        <x:v>0.745723308</x:v>
      </x:c>
      <x:c r="T75" s="6" t="n">
        <x:f>IF(S75&gt;=Scope!$B$9,1,0)</x:f>
        <x:v>1</x:v>
      </x:c>
      <x:c r="U75" s="8" t="n">
        <x:v>0.7883597884</x:v>
      </x:c>
      <x:c r="V75" s="6" t="n">
        <x:f>IF(U75&gt;=Scope!$B$9,1,0)</x:f>
        <x:v>1</x:v>
      </x:c>
      <x:c r="W75" s="8" t="n">
        <x:f>(F75-Q75)^2</x:f>
        <x:v>0.0399594587576611</x:v>
      </x:c>
      <x:c r="X75" s="8" t="n">
        <x:f>(F75-S75)^2</x:f>
        <x:v>0.06465663609446287</x:v>
      </x:c>
      <x:c r="Y75" s="8" t="n">
        <x:f>(F75-U75)^2</x:f>
        <x:v>0.04479157916609278</x:v>
      </x:c>
    </x:row>
    <x:row r="76" ht="28" customHeight="1">
      <x:c r="A76" s="4" t="str">
        <x:v>UCSD-PTGBM-0050_04</x:v>
      </x:c>
      <x:c r="B76" s="4" t="str">
        <x:v>UCSD-PTGBM-0050</x:v>
      </x:c>
      <x:c r="C76" s="4" t="str">
        <x:v>BraTS-GLI-02303-103</x:v>
      </x:c>
      <x:c r="D76" s="4" t="str">
        <x:v>BraTS-GLI-02303</x:v>
      </x:c>
      <x:c r="E76" s="4" t="str">
        <x:v>dualid:UCSD-PTGBM-0050</x:v>
      </x:c>
      <x:c r="F76" s="6" t="n">
        <x:v>1</x:v>
      </x:c>
      <x:c r="G76" s="4" t="str">
        <x:v>derived_from_published_243_equals_192_plus_51_partition</x:v>
      </x:c>
      <x:c r="H76" s="6" t="n">
        <x:v>53</x:v>
      </x:c>
      <x:c r="I76" s="6" t="n">
        <x:v>1</x:v>
      </x:c>
      <x:c r="J76" s="6" t="n">
        <x:v>1</x:v>
      </x:c>
      <x:c r="K76" s="4" t="str">
        <x:v>-204</x:v>
      </x:c>
      <x:c r="L76" s="6" t="n">
        <x:v>204</x:v>
      </x:c>
      <x:c r="M76" s="6" t="n">
        <x:v>5.3230099791</x:v>
      </x:c>
      <x:c r="N76" s="6" t="n">
        <x:v>0</x:v>
      </x:c>
      <x:c r="O76" s="4" t="str">
        <x:v>Glioblastoma</x:v>
      </x:c>
      <x:c r="P76" s="6" t="n">
        <x:v>2</x:v>
      </x:c>
      <x:c r="Q76" s="8" t="n">
        <x:v>0.8001013788</x:v>
      </x:c>
      <x:c r="R76" s="6" t="n">
        <x:f>IF(Q76&gt;=Scope!$B$9,1,0)</x:f>
        <x:v>1</x:v>
      </x:c>
      <x:c r="S76" s="8" t="n">
        <x:v>0.8306596503</x:v>
      </x:c>
      <x:c r="T76" s="6" t="n">
        <x:f>IF(S76&gt;=Scope!$B$9,1,0)</x:f>
        <x:v>1</x:v>
      </x:c>
      <x:c r="U76" s="8" t="n">
        <x:v>0.7883597884</x:v>
      </x:c>
      <x:c r="V76" s="6" t="n">
        <x:f>IF(U76&gt;=Scope!$B$9,1,0)</x:f>
        <x:v>1</x:v>
      </x:c>
      <x:c r="W76" s="8" t="n">
        <x:f>(F76-Q76)^2</x:f>
        <x:v>0.0399594587576611</x:v>
      </x:c>
      <x:c r="X76" s="8" t="n">
        <x:f>(F76-S76)^2</x:f>
        <x:v>0.02867615403651829</x:v>
      </x:c>
      <x:c r="Y76" s="8" t="n">
        <x:f>(F76-U76)^2</x:f>
        <x:v>0.04479157916609278</x:v>
      </x:c>
    </x:row>
    <x:row r="77" ht="28" customHeight="1">
      <x:c r="A77" s="4" t="str">
        <x:v>UCSD-PTGBM-0051_01</x:v>
      </x:c>
      <x:c r="B77" s="4" t="str">
        <x:v>UCSD-PTGBM-0051</x:v>
      </x:c>
      <x:c r="C77" s="4" t="str">
        <x:v>BraTS-GLI-02304-100</x:v>
      </x:c>
      <x:c r="D77" s="4" t="str">
        <x:v>BraTS-GLI-02304</x:v>
      </x:c>
      <x:c r="E77" s="4" t="str">
        <x:v>dualid:UCSD-PTGBM-0051</x:v>
      </x:c>
      <x:c r="F77" s="6" t="n">
        <x:v>1</x:v>
      </x:c>
      <x:c r="G77" s="4" t="str">
        <x:v>derived_from_published_243_equals_192_plus_51_partition</x:v>
      </x:c>
      <x:c r="H77" s="6" t="n">
        <x:v>70</x:v>
      </x:c>
      <x:c r="I77" s="6" t="n">
        <x:v>1</x:v>
      </x:c>
      <x:c r="J77" s="6" t="n">
        <x:v>1</x:v>
      </x:c>
      <x:c r="K77" s="4" t="str">
        <x:v>-1914</x:v>
      </x:c>
      <x:c r="L77" s="6" t="n">
        <x:v>1914</x:v>
      </x:c>
      <x:c r="M77" s="6" t="n">
        <x:v>7.5574729016</x:v>
      </x:c>
      <x:c r="N77" s="6" t="n">
        <x:v>0</x:v>
      </x:c>
      <x:c r="O77" s="4" t="str">
        <x:v>Glioblastoma</x:v>
      </x:c>
      <x:c r="P77" s="6" t="n">
        <x:v>2</x:v>
      </x:c>
      <x:c r="Q77" s="8" t="n">
        <x:v>0.8637097176</x:v>
      </x:c>
      <x:c r="R77" s="6" t="n">
        <x:f>IF(Q77&gt;=Scope!$B$9,1,0)</x:f>
        <x:v>1</x:v>
      </x:c>
      <x:c r="S77" s="8" t="n">
        <x:v>0.7435128435</x:v>
      </x:c>
      <x:c r="T77" s="6" t="n">
        <x:f>IF(S77&gt;=Scope!$B$9,1,0)</x:f>
        <x:v>1</x:v>
      </x:c>
      <x:c r="U77" s="8" t="n">
        <x:v>0.7883597884</x:v>
      </x:c>
      <x:c r="V77" s="6" t="n">
        <x:f>IF(U77&gt;=Scope!$B$9,1,0)</x:f>
        <x:v>1</x:v>
      </x:c>
      <x:c r="W77" s="8" t="n">
        <x:f>(F77-Q77)^2</x:f>
        <x:v>0.01857504107667174</x:v>
      </x:c>
      <x:c r="X77" s="8" t="n">
        <x:f>(F77-S77)^2</x:f>
        <x:v>0.06578566144945548</x:v>
      </x:c>
      <x:c r="Y77" s="8" t="n">
        <x:f>(F77-U77)^2</x:f>
        <x:v>0.04479157916609278</x:v>
      </x:c>
    </x:row>
    <x:row r="78" ht="28" customHeight="1">
      <x:c r="A78" s="4" t="str">
        <x:v>UCSD-PTGBM-0052_01</x:v>
      </x:c>
      <x:c r="B78" s="4" t="str">
        <x:v>UCSD-PTGBM-0052</x:v>
      </x:c>
      <x:c r="C78" s="4" t="str">
        <x:v>BraTS-GLI-02305-100</x:v>
      </x:c>
      <x:c r="D78" s="4" t="str">
        <x:v>BraTS-GLI-02305</x:v>
      </x:c>
      <x:c r="E78" s="4" t="str">
        <x:v>dualid:UCSD-PTGBM-0052</x:v>
      </x:c>
      <x:c r="F78" s="6" t="n">
        <x:v>0</x:v>
      </x:c>
      <x:c r="G78" s="4" t="str">
        <x:v>explicit_negative_case_list</x:v>
      </x:c>
      <x:c r="H78" s="6" t="n">
        <x:v>47</x:v>
      </x:c>
      <x:c r="I78" s="6" t="n">
        <x:v>1</x:v>
      </x:c>
      <x:c r="J78" s="6" t="n">
        <x:v>0</x:v>
      </x:c>
      <x:c r="K78" s="4" t="str">
        <x:v>-35</x:v>
      </x:c>
      <x:c r="L78" s="6" t="n">
        <x:v>35</x:v>
      </x:c>
      <x:c r="M78" s="6" t="n">
        <x:v>3.5835189385</x:v>
      </x:c>
      <x:c r="N78" s="6" t="n">
        <x:v>0</x:v>
      </x:c>
      <x:c r="O78" s="4" t="str">
        <x:v>Glioblastoma</x:v>
      </x:c>
      <x:c r="P78" s="6" t="n">
        <x:v>4</x:v>
      </x:c>
      <x:c r="Q78" s="8" t="n">
        <x:v>0.7729468244</x:v>
      </x:c>
      <x:c r="R78" s="6" t="n">
        <x:f>IF(Q78&gt;=Scope!$B$9,1,0)</x:f>
        <x:v>1</x:v>
      </x:c>
      <x:c r="S78" s="8" t="n">
        <x:v>0.8774707351</x:v>
      </x:c>
      <x:c r="T78" s="6" t="n">
        <x:f>IF(S78&gt;=Scope!$B$9,1,0)</x:f>
        <x:v>1</x:v>
      </x:c>
      <x:c r="U78" s="8" t="n">
        <x:v>0.7853403141</x:v>
      </x:c>
      <x:c r="V78" s="6" t="n">
        <x:f>IF(U78&gt;=Scope!$B$9,1,0)</x:f>
        <x:v>1</x:v>
      </x:c>
      <x:c r="W78" s="8" t="n">
        <x:f>(F78-Q78)^2</x:f>
        <x:v>0.5974467933500444</x:v>
      </x:c>
      <x:c r="X78" s="8" t="n">
        <x:f>(F78-S78)^2</x:f>
        <x:v>0.7699548909569343</x:v>
      </x:c>
      <x:c r="Y78" s="8" t="n">
        <x:f>(F78-U78)^2</x:f>
        <x:v>0.6167594089506867</x:v>
      </x:c>
    </x:row>
    <x:row r="79" ht="28" customHeight="1">
      <x:c r="A79" s="4" t="str">
        <x:v>UCSD-PTGBM-0052_02</x:v>
      </x:c>
      <x:c r="B79" s="4" t="str">
        <x:v>UCSD-PTGBM-0052</x:v>
      </x:c>
      <x:c r="C79" s="4" t="str">
        <x:v>BraTS-GLI-02305-101</x:v>
      </x:c>
      <x:c r="D79" s="4" t="str">
        <x:v>BraTS-GLI-02305</x:v>
      </x:c>
      <x:c r="E79" s="4" t="str">
        <x:v>dualid:UCSD-PTGBM-0052</x:v>
      </x:c>
      <x:c r="F79" s="6" t="n">
        <x:v>1</x:v>
      </x:c>
      <x:c r="G79" s="4" t="str">
        <x:v>derived_from_published_243_equals_192_plus_51_partition</x:v>
      </x:c>
      <x:c r="H79" s="6" t="n">
        <x:v>47</x:v>
      </x:c>
      <x:c r="I79" s="6" t="n">
        <x:v>1</x:v>
      </x:c>
      <x:c r="J79" s="6" t="n">
        <x:v>0</x:v>
      </x:c>
      <x:c r="K79" s="4" t="str">
        <x:v>-437</x:v>
      </x:c>
      <x:c r="L79" s="6" t="n">
        <x:v>437</x:v>
      </x:c>
      <x:c r="M79" s="6" t="n">
        <x:v>6.0822189104</x:v>
      </x:c>
      <x:c r="N79" s="6" t="n">
        <x:v>0</x:v>
      </x:c>
      <x:c r="O79" s="4" t="str">
        <x:v>Glioblastoma</x:v>
      </x:c>
      <x:c r="P79" s="6" t="n">
        <x:v>4</x:v>
      </x:c>
      <x:c r="Q79" s="8" t="n">
        <x:v>0.7729468244</x:v>
      </x:c>
      <x:c r="R79" s="6" t="n">
        <x:f>IF(Q79&gt;=Scope!$B$9,1,0)</x:f>
        <x:v>1</x:v>
      </x:c>
      <x:c r="S79" s="8" t="n">
        <x:v>0.619147537</x:v>
      </x:c>
      <x:c r="T79" s="6" t="n">
        <x:f>IF(S79&gt;=Scope!$B$9,1,0)</x:f>
        <x:v>1</x:v>
      </x:c>
      <x:c r="U79" s="8" t="n">
        <x:v>0.7853403141</x:v>
      </x:c>
      <x:c r="V79" s="6" t="n">
        <x:f>IF(U79&gt;=Scope!$B$9,1,0)</x:f>
        <x:v>1</x:v>
      </x:c>
      <x:c r="W79" s="8" t="n">
        <x:f>(F79-Q79)^2</x:f>
        <x:v>0.05155314455004446</x:v>
      </x:c>
      <x:c r="X79" s="8" t="n">
        <x:f>(F79-S79)^2</x:f>
        <x:v>0.14504859857316635</x:v>
      </x:c>
      <x:c r="Y79" s="8" t="n">
        <x:f>(F79-U79)^2</x:f>
        <x:v>0.04607878075068664</x:v>
      </x:c>
    </x:row>
    <x:row r="80" ht="28" customHeight="1">
      <x:c r="A80" s="4" t="str">
        <x:v>UCSD-PTGBM-0052_03</x:v>
      </x:c>
      <x:c r="B80" s="4" t="str">
        <x:v>UCSD-PTGBM-0052</x:v>
      </x:c>
      <x:c r="C80" s="4" t="str">
        <x:v>BraTS-GLI-02305-102</x:v>
      </x:c>
      <x:c r="D80" s="4" t="str">
        <x:v>BraTS-GLI-02305</x:v>
      </x:c>
      <x:c r="E80" s="4" t="str">
        <x:v>dualid:UCSD-PTGBM-0052</x:v>
      </x:c>
      <x:c r="F80" s="6" t="n">
        <x:v>1</x:v>
      </x:c>
      <x:c r="G80" s="4" t="str">
        <x:v>derived_from_published_243_equals_192_plus_51_partition</x:v>
      </x:c>
      <x:c r="H80" s="6" t="n">
        <x:v>47</x:v>
      </x:c>
      <x:c r="I80" s="6" t="n">
        <x:v>1</x:v>
      </x:c>
      <x:c r="J80" s="6" t="n">
        <x:v>0</x:v>
      </x:c>
      <x:c r="K80" s="4" t="str">
        <x:v>-558</x:v>
      </x:c>
      <x:c r="L80" s="6" t="n">
        <x:v>558</x:v>
      </x:c>
      <x:c r="M80" s="6" t="n">
        <x:v>6.3261494732</x:v>
      </x:c>
      <x:c r="N80" s="6" t="n">
        <x:v>0</x:v>
      </x:c>
      <x:c r="O80" s="4" t="str">
        <x:v>Glioblastoma</x:v>
      </x:c>
      <x:c r="P80" s="6" t="n">
        <x:v>4</x:v>
      </x:c>
      <x:c r="Q80" s="8" t="n">
        <x:v>0.7729468244</x:v>
      </x:c>
      <x:c r="R80" s="6" t="n">
        <x:f>IF(Q80&gt;=Scope!$B$9,1,0)</x:f>
        <x:v>1</x:v>
      </x:c>
      <x:c r="S80" s="8" t="n">
        <x:v>0.5844770941</x:v>
      </x:c>
      <x:c r="T80" s="6" t="n">
        <x:f>IF(S80&gt;=Scope!$B$9,1,0)</x:f>
        <x:v>1</x:v>
      </x:c>
      <x:c r="U80" s="8" t="n">
        <x:v>0.7853403141</x:v>
      </x:c>
      <x:c r="V80" s="6" t="n">
        <x:f>IF(U80&gt;=Scope!$B$9,1,0)</x:f>
        <x:v>1</x:v>
      </x:c>
      <x:c r="W80" s="8" t="n">
        <x:f>(F80-Q80)^2</x:f>
        <x:v>0.05155314455004446</x:v>
      </x:c>
      <x:c r="X80" s="8" t="n">
        <x:f>(F80-S80)^2</x:f>
        <x:v>0.17265928532758024</x:v>
      </x:c>
      <x:c r="Y80" s="8" t="n">
        <x:f>(F80-U80)^2</x:f>
        <x:v>0.04607878075068664</x:v>
      </x:c>
    </x:row>
    <x:row r="81" ht="28" customHeight="1">
      <x:c r="A81" s="4" t="str">
        <x:v>UCSD-PTGBM-0053_01</x:v>
      </x:c>
      <x:c r="B81" s="4" t="str">
        <x:v>UCSD-PTGBM-0053</x:v>
      </x:c>
      <x:c r="C81" s="4" t="str">
        <x:v>BraTS-GLI-02307-100</x:v>
      </x:c>
      <x:c r="D81" s="4" t="str">
        <x:v>BraTS-GLI-02307</x:v>
      </x:c>
      <x:c r="E81" s="4" t="str">
        <x:v>dualid:UCSD-PTGBM-0053</x:v>
      </x:c>
      <x:c r="F81" s="6" t="n">
        <x:v>1</x:v>
      </x:c>
      <x:c r="G81" s="4" t="str">
        <x:v>derived_from_published_243_equals_192_plus_51_partition</x:v>
      </x:c>
      <x:c r="H81" s="6" t="n">
        <x:v>39</x:v>
      </x:c>
      <x:c r="I81" s="6" t="n">
        <x:v>1</x:v>
      </x:c>
      <x:c r="J81" s="6" t="n">
        <x:v>0</x:v>
      </x:c>
      <x:c r="K81" s="4" t="str">
        <x:v>-188</x:v>
      </x:c>
      <x:c r="L81" s="6" t="n">
        <x:v>188</x:v>
      </x:c>
      <x:c r="M81" s="6" t="n">
        <x:v>5.2417470151</x:v>
      </x:c>
      <x:c r="N81" s="6" t="n">
        <x:v>0</x:v>
      </x:c>
      <x:c r="O81" s="4" t="str">
        <x:v>Glioblastoma</x:v>
      </x:c>
      <x:c r="P81" s="6" t="n">
        <x:v>3</x:v>
      </x:c>
      <x:c r="Q81" s="8" t="n">
        <x:v>0.728931354</x:v>
      </x:c>
      <x:c r="R81" s="6" t="n">
        <x:f>IF(Q81&gt;=Scope!$B$9,1,0)</x:f>
        <x:v>1</x:v>
      </x:c>
      <x:c r="S81" s="8" t="n">
        <x:v>0.681397849</x:v>
      </x:c>
      <x:c r="T81" s="6" t="n">
        <x:f>IF(S81&gt;=Scope!$B$9,1,0)</x:f>
        <x:v>1</x:v>
      </x:c>
      <x:c r="U81" s="8" t="n">
        <x:v>0.7853403141</x:v>
      </x:c>
      <x:c r="V81" s="6" t="n">
        <x:f>IF(U81&gt;=Scope!$B$9,1,0)</x:f>
        <x:v>1</x:v>
      </x:c>
      <x:c r="W81" s="8" t="n">
        <x:f>(F81-Q81)^2</x:f>
        <x:v>0.07347821084427333</x:v>
      </x:c>
      <x:c r="X81" s="8" t="n">
        <x:f>(F81-S81)^2</x:f>
        <x:v>0.1015073306218268</x:v>
      </x:c>
      <x:c r="Y81" s="8" t="n">
        <x:f>(F81-U81)^2</x:f>
        <x:v>0.04607878075068664</x:v>
      </x:c>
    </x:row>
    <x:row r="82" ht="28" customHeight="1">
      <x:c r="A82" s="4" t="str">
        <x:v>UCSD-PTGBM-0053_02</x:v>
      </x:c>
      <x:c r="B82" s="4" t="str">
        <x:v>UCSD-PTGBM-0053</x:v>
      </x:c>
      <x:c r="C82" s="4" t="str">
        <x:v>BraTS-GLI-02307-101</x:v>
      </x:c>
      <x:c r="D82" s="4" t="str">
        <x:v>BraTS-GLI-02307</x:v>
      </x:c>
      <x:c r="E82" s="4" t="str">
        <x:v>dualid:UCSD-PTGBM-0053</x:v>
      </x:c>
      <x:c r="F82" s="6" t="n">
        <x:v>1</x:v>
      </x:c>
      <x:c r="G82" s="4" t="str">
        <x:v>derived_from_published_243_equals_192_plus_51_partition</x:v>
      </x:c>
      <x:c r="H82" s="6" t="n">
        <x:v>39</x:v>
      </x:c>
      <x:c r="I82" s="6" t="n">
        <x:v>1</x:v>
      </x:c>
      <x:c r="J82" s="6" t="n">
        <x:v>0</x:v>
      </x:c>
      <x:c r="K82" s="4" t="str">
        <x:v>-232</x:v>
      </x:c>
      <x:c r="L82" s="6" t="n">
        <x:v>232</x:v>
      </x:c>
      <x:c r="M82" s="6" t="n">
        <x:v>5.4510384536</x:v>
      </x:c>
      <x:c r="N82" s="6" t="n">
        <x:v>0</x:v>
      </x:c>
      <x:c r="O82" s="4" t="str">
        <x:v>Glioblastoma</x:v>
      </x:c>
      <x:c r="P82" s="6" t="n">
        <x:v>3</x:v>
      </x:c>
      <x:c r="Q82" s="8" t="n">
        <x:v>0.728931354</x:v>
      </x:c>
      <x:c r="R82" s="6" t="n">
        <x:f>IF(Q82&gt;=Scope!$B$9,1,0)</x:f>
        <x:v>1</x:v>
      </x:c>
      <x:c r="S82" s="8" t="n">
        <x:v>0.6574894361</x:v>
      </x:c>
      <x:c r="T82" s="6" t="n">
        <x:f>IF(S82&gt;=Scope!$B$9,1,0)</x:f>
        <x:v>1</x:v>
      </x:c>
      <x:c r="U82" s="8" t="n">
        <x:v>0.7853403141</x:v>
      </x:c>
      <x:c r="V82" s="6" t="n">
        <x:f>IF(U82&gt;=Scope!$B$9,1,0)</x:f>
        <x:v>1</x:v>
      </x:c>
      <x:c r="W82" s="8" t="n">
        <x:f>(F82-Q82)^2</x:f>
        <x:v>0.07347821084427333</x:v>
      </x:c>
      <x:c r="X82" s="8" t="n">
        <x:f>(F82-S82)^2</x:f>
        <x:v>0.117313486383096</x:v>
      </x:c>
      <x:c r="Y82" s="8" t="n">
        <x:f>(F82-U82)^2</x:f>
        <x:v>0.04607878075068664</x:v>
      </x:c>
    </x:row>
    <x:row r="83" ht="28" customHeight="1">
      <x:c r="A83" s="4" t="str">
        <x:v>UCSD-PTGBM-0053_03</x:v>
      </x:c>
      <x:c r="B83" s="4" t="str">
        <x:v>UCSD-PTGBM-0053</x:v>
      </x:c>
      <x:c r="C83" s="4" t="str">
        <x:v>BraTS-GLI-02307-102</x:v>
      </x:c>
      <x:c r="D83" s="4" t="str">
        <x:v>BraTS-GLI-02307</x:v>
      </x:c>
      <x:c r="E83" s="4" t="str">
        <x:v>dualid:UCSD-PTGBM-0053</x:v>
      </x:c>
      <x:c r="F83" s="6" t="n">
        <x:v>1</x:v>
      </x:c>
      <x:c r="G83" s="4" t="str">
        <x:v>derived_from_published_243_equals_192_plus_51_partition</x:v>
      </x:c>
      <x:c r="H83" s="6" t="n">
        <x:v>39</x:v>
      </x:c>
      <x:c r="I83" s="6" t="n">
        <x:v>1</x:v>
      </x:c>
      <x:c r="J83" s="6" t="n">
        <x:v>0</x:v>
      </x:c>
      <x:c r="K83" s="4" t="str">
        <x:v>-302</x:v>
      </x:c>
      <x:c r="L83" s="6" t="n">
        <x:v>302</x:v>
      </x:c>
      <x:c r="M83" s="6" t="n">
        <x:v>5.7137328055</x:v>
      </x:c>
      <x:c r="N83" s="6" t="n">
        <x:v>0</x:v>
      </x:c>
      <x:c r="O83" s="4" t="str">
        <x:v>Glioblastoma</x:v>
      </x:c>
      <x:c r="P83" s="6" t="n">
        <x:v>3</x:v>
      </x:c>
      <x:c r="Q83" s="8" t="n">
        <x:v>0.728931354</x:v>
      </x:c>
      <x:c r="R83" s="6" t="n">
        <x:f>IF(Q83&gt;=Scope!$B$9,1,0)</x:f>
        <x:v>1</x:v>
      </x:c>
      <x:c r="S83" s="8" t="n">
        <x:v>0.6263224813</x:v>
      </x:c>
      <x:c r="T83" s="6" t="n">
        <x:f>IF(S83&gt;=Scope!$B$9,1,0)</x:f>
        <x:v>1</x:v>
      </x:c>
      <x:c r="U83" s="8" t="n">
        <x:v>0.7853403141</x:v>
      </x:c>
      <x:c r="V83" s="6" t="n">
        <x:f>IF(U83&gt;=Scope!$B$9,1,0)</x:f>
        <x:v>1</x:v>
      </x:c>
      <x:c r="W83" s="8" t="n">
        <x:f>(F83-Q83)^2</x:f>
        <x:v>0.07347821084427333</x:v>
      </x:c>
      <x:c r="X83" s="8" t="n">
        <x:f>(F83-S83)^2</x:f>
        <x:v>0.13963488798178883</x:v>
      </x:c>
      <x:c r="Y83" s="8" t="n">
        <x:f>(F83-U83)^2</x:f>
        <x:v>0.04607878075068664</x:v>
      </x:c>
    </x:row>
    <x:row r="84" ht="28" customHeight="1">
      <x:c r="A84" s="4" t="str">
        <x:v>UCSD-PTGBM-0054_01</x:v>
      </x:c>
      <x:c r="B84" s="4" t="str">
        <x:v>UCSD-PTGBM-0054</x:v>
      </x:c>
      <x:c r="C84" s="4" t="str">
        <x:v>BraTS-GLI-02308-100</x:v>
      </x:c>
      <x:c r="D84" s="4" t="str">
        <x:v>BraTS-GLI-02308</x:v>
      </x:c>
      <x:c r="E84" s="4" t="str">
        <x:v>dualid:UCSD-PTGBM-0054</x:v>
      </x:c>
      <x:c r="F84" s="6" t="n">
        <x:v>1</x:v>
      </x:c>
      <x:c r="G84" s="4" t="str">
        <x:v>derived_from_published_243_equals_192_plus_51_partition</x:v>
      </x:c>
      <x:c r="H84" s="6" t="n">
        <x:v>63</x:v>
      </x:c>
      <x:c r="I84" s="6" t="n">
        <x:v>1</x:v>
      </x:c>
      <x:c r="J84" s="6" t="n">
        <x:v>0</x:v>
      </x:c>
      <x:c r="K84" s="4" t="str">
        <x:v>-19</x:v>
      </x:c>
      <x:c r="L84" s="6" t="n">
        <x:v>19</x:v>
      </x:c>
      <x:c r="M84" s="6" t="n">
        <x:v>2.9957322735</x:v>
      </x:c>
      <x:c r="N84" s="6" t="n">
        <x:v>0</x:v>
      </x:c>
      <x:c r="O84" s="4" t="str">
        <x:v>Glioblastoma</x:v>
      </x:c>
      <x:c r="P84" s="6" t="n">
        <x:v>4</x:v>
      </x:c>
      <x:c r="Q84" s="8" t="n">
        <x:v>0.8533167663</x:v>
      </x:c>
      <x:c r="R84" s="6" t="n">
        <x:f>IF(Q84&gt;=Scope!$B$9,1,0)</x:f>
        <x:v>1</x:v>
      </x:c>
      <x:c r="S84" s="8" t="n">
        <x:v>0.9345474418</x:v>
      </x:c>
      <x:c r="T84" s="6" t="n">
        <x:f>IF(S84&gt;=Scope!$B$9,1,0)</x:f>
        <x:v>1</x:v>
      </x:c>
      <x:c r="U84" s="8" t="n">
        <x:v>0.7853403141</x:v>
      </x:c>
      <x:c r="V84" s="6" t="n">
        <x:f>IF(U84&gt;=Scope!$B$9,1,0)</x:f>
        <x:v>1</x:v>
      </x:c>
      <x:c r="W84" s="8" t="n">
        <x:f>(F84-Q84)^2</x:f>
        <x:v>0.021515971048688822</x:v>
      </x:c>
      <x:c r="X84" s="8" t="n">
        <x:f>(F84-S84)^2</x:f>
        <x:v>0.0042840373749243816</x:v>
      </x:c>
      <x:c r="Y84" s="8" t="n">
        <x:f>(F84-U84)^2</x:f>
        <x:v>0.04607878075068664</x:v>
      </x:c>
    </x:row>
    <x:row r="85" ht="28" customHeight="1">
      <x:c r="A85" s="4" t="str">
        <x:v>UCSD-PTGBM-0055_01</x:v>
      </x:c>
      <x:c r="B85" s="4" t="str">
        <x:v>UCSD-PTGBM-0055</x:v>
      </x:c>
      <x:c r="C85" s="4" t="str">
        <x:v>BraTS-GLI-02309-100</x:v>
      </x:c>
      <x:c r="D85" s="4" t="str">
        <x:v>BraTS-GLI-02309</x:v>
      </x:c>
      <x:c r="E85" s="4" t="str">
        <x:v>dualid:UCSD-PTGBM-0055</x:v>
      </x:c>
      <x:c r="F85" s="6" t="n">
        <x:v>0</x:v>
      </x:c>
      <x:c r="G85" s="4" t="str">
        <x:v>explicit_negative_case_list</x:v>
      </x:c>
      <x:c r="H85" s="6" t="n">
        <x:v>81</x:v>
      </x:c>
      <x:c r="I85" s="6" t="n">
        <x:v>1</x:v>
      </x:c>
      <x:c r="J85" s="6" t="n">
        <x:v>0</x:v>
      </x:c>
      <x:c r="K85" s="4" t="str">
        <x:v>-14</x:v>
      </x:c>
      <x:c r="L85" s="6" t="n">
        <x:v>14</x:v>
      </x:c>
      <x:c r="M85" s="6" t="n">
        <x:v>2.7080502011</x:v>
      </x:c>
      <x:c r="N85" s="6" t="n">
        <x:v>0</x:v>
      </x:c>
      <x:c r="O85" s="4" t="str">
        <x:v>Glioblastoma</x:v>
      </x:c>
      <x:c r="P85" s="6" t="n">
        <x:v>3</x:v>
      </x:c>
      <x:c r="Q85" s="8" t="n">
        <x:v>0.8935294177</x:v>
      </x:c>
      <x:c r="R85" s="6" t="n">
        <x:f>IF(Q85&gt;=Scope!$B$9,1,0)</x:f>
        <x:v>1</x:v>
      </x:c>
      <x:c r="S85" s="8" t="n">
        <x:v>0.9351861351</x:v>
      </x:c>
      <x:c r="T85" s="6" t="n">
        <x:f>IF(S85&gt;=Scope!$B$9,1,0)</x:f>
        <x:v>1</x:v>
      </x:c>
      <x:c r="U85" s="8" t="n">
        <x:v>0.7853403141</x:v>
      </x:c>
      <x:c r="V85" s="6" t="n">
        <x:f>IF(U85&gt;=Scope!$B$9,1,0)</x:f>
        <x:v>1</x:v>
      </x:c>
      <x:c r="W85" s="8" t="n">
        <x:f>(F85-Q85)^2</x:f>
        <x:v>0.7983948202953012</x:v>
      </x:c>
      <x:c r="X85" s="8" t="n">
        <x:f>(F85-S85)^2</x:f>
        <x:v>0.8745731072832755</x:v>
      </x:c>
      <x:c r="Y85" s="8" t="n">
        <x:f>(F85-U85)^2</x:f>
        <x:v>0.6167594089506867</x:v>
      </x:c>
    </x:row>
    <x:row r="86" ht="28" customHeight="1">
      <x:c r="A86" s="4" t="str">
        <x:v>UCSD-PTGBM-0056_01</x:v>
      </x:c>
      <x:c r="B86" s="4" t="str">
        <x:v>UCSD-PTGBM-0056</x:v>
      </x:c>
      <x:c r="C86" s="4" t="str">
        <x:v>BraTS-GLI-02310-100</x:v>
      </x:c>
      <x:c r="D86" s="4" t="str">
        <x:v>BraTS-GLI-02310</x:v>
      </x:c>
      <x:c r="E86" s="4" t="str">
        <x:v>dualid:UCSD-PTGBM-0056</x:v>
      </x:c>
      <x:c r="F86" s="6" t="n">
        <x:v>1</x:v>
      </x:c>
      <x:c r="G86" s="4" t="str">
        <x:v>derived_from_published_243_equals_192_plus_51_partition</x:v>
      </x:c>
      <x:c r="H86" s="6" t="n">
        <x:v>29</x:v>
      </x:c>
      <x:c r="I86" s="6" t="n">
        <x:v>1</x:v>
      </x:c>
      <x:c r="J86" s="6" t="n">
        <x:v>0</x:v>
      </x:c>
      <x:c r="K86" s="4" t="str">
        <x:v>Unknown</x:v>
      </x:c>
      <x:c r="L86" s="6"/>
      <x:c r="M86" s="6"/>
      <x:c r="N86" s="6" t="n">
        <x:v>1</x:v>
      </x:c>
      <x:c r="O86" s="4" t="str">
        <x:v>Glioblastoma</x:v>
      </x:c>
      <x:c r="P86" s="6" t="n">
        <x:v>5</x:v>
      </x:c>
      <x:c r="Q86" s="8" t="n">
        <x:v>0.6509830612</x:v>
      </x:c>
      <x:c r="R86" s="6" t="n">
        <x:f>IF(Q86&gt;=Scope!$B$9,1,0)</x:f>
        <x:v>1</x:v>
      </x:c>
      <x:c r="S86" s="8" t="n">
        <x:v>0.7967010853</x:v>
      </x:c>
      <x:c r="T86" s="6" t="n">
        <x:f>IF(S86&gt;=Scope!$B$9,1,0)</x:f>
        <x:v>1</x:v>
      </x:c>
      <x:c r="U86" s="8" t="n">
        <x:v>0.7853403141</x:v>
      </x:c>
      <x:c r="V86" s="6" t="n">
        <x:f>IF(U86&gt;=Scope!$B$9,1,0)</x:f>
        <x:v>1</x:v>
      </x:c>
      <x:c r="W86" s="8" t="n">
        <x:f>(F86-Q86)^2</x:f>
        <x:v>0.12181282356932291</x:v>
      </x:c>
      <x:c r="X86" s="8" t="n">
        <x:f>(F86-S86)^2</x:f>
        <x:v>0.041330448718197896</x:v>
      </x:c>
      <x:c r="Y86" s="8" t="n">
        <x:f>(F86-U86)^2</x:f>
        <x:v>0.04607878075068664</x:v>
      </x:c>
    </x:row>
    <x:row r="87" ht="28" customHeight="1">
      <x:c r="A87" s="4" t="str">
        <x:v>UCSD-PTGBM-0057_01</x:v>
      </x:c>
      <x:c r="B87" s="4" t="str">
        <x:v>UCSD-PTGBM-0057</x:v>
      </x:c>
      <x:c r="C87" s="4" t="str">
        <x:v>BraTS-GLI-02312-100</x:v>
      </x:c>
      <x:c r="D87" s="4" t="str">
        <x:v>BraTS-GLI-02312</x:v>
      </x:c>
      <x:c r="E87" s="4" t="str">
        <x:v>dualid:UCSD-PTGBM-0057</x:v>
      </x:c>
      <x:c r="F87" s="6" t="n">
        <x:v>0</x:v>
      </x:c>
      <x:c r="G87" s="4" t="str">
        <x:v>explicit_negative_case_list</x:v>
      </x:c>
      <x:c r="H87" s="6" t="n">
        <x:v>49</x:v>
      </x:c>
      <x:c r="I87" s="6" t="n">
        <x:v>1</x:v>
      </x:c>
      <x:c r="J87" s="6" t="n">
        <x:v>0</x:v>
      </x:c>
      <x:c r="K87" s="4" t="str">
        <x:v>-35</x:v>
      </x:c>
      <x:c r="L87" s="6" t="n">
        <x:v>35</x:v>
      </x:c>
      <x:c r="M87" s="6" t="n">
        <x:v>3.5835189385</x:v>
      </x:c>
      <x:c r="N87" s="6" t="n">
        <x:v>0</x:v>
      </x:c>
      <x:c r="O87" s="4" t="str">
        <x:v>Glioblastoma</x:v>
      </x:c>
      <x:c r="P87" s="6" t="n">
        <x:v>4</x:v>
      </x:c>
      <x:c r="Q87" s="8" t="n">
        <x:v>0.7844863106</x:v>
      </x:c>
      <x:c r="R87" s="6" t="n">
        <x:f>IF(Q87&gt;=Scope!$B$9,1,0)</x:f>
        <x:v>1</x:v>
      </x:c>
      <x:c r="S87" s="8" t="n">
        <x:v>0.8819835132</x:v>
      </x:c>
      <x:c r="T87" s="6" t="n">
        <x:f>IF(S87&gt;=Scope!$B$9,1,0)</x:f>
        <x:v>1</x:v>
      </x:c>
      <x:c r="U87" s="8" t="n">
        <x:v>0.7853403141</x:v>
      </x:c>
      <x:c r="V87" s="6" t="n">
        <x:f>IF(U87&gt;=Scope!$B$9,1,0)</x:f>
        <x:v>1</x:v>
      </x:c>
      <x:c r="W87" s="8" t="n">
        <x:f>(F87-Q87)^2</x:f>
        <x:v>0.6154187715187996</x:v>
      </x:c>
      <x:c r="X87" s="8" t="n">
        <x:f>(F87-S87)^2</x:f>
        <x:v>0.7778949175566146</x:v>
      </x:c>
      <x:c r="Y87" s="8" t="n">
        <x:f>(F87-U87)^2</x:f>
        <x:v>0.6167594089506867</x:v>
      </x:c>
    </x:row>
    <x:row r="88" ht="28" customHeight="1">
      <x:c r="A88" s="4" t="str">
        <x:v>UCSD-PTGBM-0058_01</x:v>
      </x:c>
      <x:c r="B88" s="4" t="str">
        <x:v>UCSD-PTGBM-0058</x:v>
      </x:c>
      <x:c r="C88" s="4" t="str">
        <x:v>BraTS-GLI-02313-100</x:v>
      </x:c>
      <x:c r="D88" s="4" t="str">
        <x:v>BraTS-GLI-02313</x:v>
      </x:c>
      <x:c r="E88" s="4" t="str">
        <x:v>dualid:UCSD-PTGBM-0058</x:v>
      </x:c>
      <x:c r="F88" s="6" t="n">
        <x:v>1</x:v>
      </x:c>
      <x:c r="G88" s="4" t="str">
        <x:v>derived_from_published_243_equals_192_plus_51_partition</x:v>
      </x:c>
      <x:c r="H88" s="6" t="n">
        <x:v>53</x:v>
      </x:c>
      <x:c r="I88" s="6" t="n">
        <x:v>1</x:v>
      </x:c>
      <x:c r="J88" s="6" t="n">
        <x:v>0</x:v>
      </x:c>
      <x:c r="K88" s="4" t="str">
        <x:v>-33</x:v>
      </x:c>
      <x:c r="L88" s="6" t="n">
        <x:v>33</x:v>
      </x:c>
      <x:c r="M88" s="6" t="n">
        <x:v>3.5263605246</x:v>
      </x:c>
      <x:c r="N88" s="6" t="n">
        <x:v>0</x:v>
      </x:c>
      <x:c r="O88" s="4" t="str">
        <x:v>Glioblastoma</x:v>
      </x:c>
      <x:c r="P88" s="6" t="n">
        <x:v>1</x:v>
      </x:c>
      <x:c r="Q88" s="8" t="n">
        <x:v>0.8096484231</x:v>
      </x:c>
      <x:c r="R88" s="6" t="n">
        <x:f>IF(Q88&gt;=Scope!$B$9,1,0)</x:f>
        <x:v>1</x:v>
      </x:c>
      <x:c r="S88" s="8" t="n">
        <x:v>0.8561430753</x:v>
      </x:c>
      <x:c r="T88" s="6" t="n">
        <x:f>IF(S88&gt;=Scope!$B$9,1,0)</x:f>
        <x:v>1</x:v>
      </x:c>
      <x:c r="U88" s="8" t="n">
        <x:v>0.7842105263</x:v>
      </x:c>
      <x:c r="V88" s="6" t="n">
        <x:f>IF(U88&gt;=Scope!$B$9,1,0)</x:f>
        <x:v>1</x:v>
      </x:c>
      <x:c r="W88" s="8" t="n">
        <x:f>(F88-Q88)^2</x:f>
        <x:v>0.03623372282831663</x:v>
      </x:c>
      <x:c r="X88" s="8" t="n">
        <x:f>(F88-S88)^2</x:f>
        <x:v>0.02069481478414147</x:v>
      </x:c>
      <x:c r="Y88" s="8" t="n">
        <x:f>(F88-U88)^2</x:f>
        <x:v>0.046565096959722996</x:v>
      </x:c>
    </x:row>
    <x:row r="89" ht="28" customHeight="1">
      <x:c r="A89" s="4" t="str">
        <x:v>UCSD-PTGBM-0059_01</x:v>
      </x:c>
      <x:c r="B89" s="4" t="str">
        <x:v>UCSD-PTGBM-0059</x:v>
      </x:c>
      <x:c r="C89" s="4" t="str">
        <x:v>BraTS-GLI-02314-100</x:v>
      </x:c>
      <x:c r="D89" s="4" t="str">
        <x:v>BraTS-GLI-02314</x:v>
      </x:c>
      <x:c r="E89" s="4" t="str">
        <x:v>dualid:UCSD-PTGBM-0059</x:v>
      </x:c>
      <x:c r="F89" s="6" t="n">
        <x:v>1</x:v>
      </x:c>
      <x:c r="G89" s="4" t="str">
        <x:v>derived_from_published_243_equals_192_plus_51_partition</x:v>
      </x:c>
      <x:c r="H89" s="6" t="n">
        <x:v>56</x:v>
      </x:c>
      <x:c r="I89" s="6" t="n">
        <x:v>0</x:v>
      </x:c>
      <x:c r="J89" s="6" t="n">
        <x:v>0</x:v>
      </x:c>
      <x:c r="K89" s="4" t="str">
        <x:v>-49</x:v>
      </x:c>
      <x:c r="L89" s="6" t="n">
        <x:v>49</x:v>
      </x:c>
      <x:c r="M89" s="6" t="n">
        <x:v>3.9120230054</x:v>
      </x:c>
      <x:c r="N89" s="6" t="n">
        <x:v>0</x:v>
      </x:c>
      <x:c r="O89" s="4" t="str">
        <x:v>Glioblastoma</x:v>
      </x:c>
      <x:c r="P89" s="6" t="n">
        <x:v>2</x:v>
      </x:c>
      <x:c r="Q89" s="8" t="n">
        <x:v>0.7551323574</x:v>
      </x:c>
      <x:c r="R89" s="6" t="n">
        <x:f>IF(Q89&gt;=Scope!$B$9,1,0)</x:f>
        <x:v>1</x:v>
      </x:c>
      <x:c r="S89" s="8" t="n">
        <x:v>0.8063397893</x:v>
      </x:c>
      <x:c r="T89" s="6" t="n">
        <x:f>IF(S89&gt;=Scope!$B$9,1,0)</x:f>
        <x:v>1</x:v>
      </x:c>
      <x:c r="U89" s="8" t="n">
        <x:v>0.7883597884</x:v>
      </x:c>
      <x:c r="V89" s="6" t="n">
        <x:f>IF(U89&gt;=Scope!$B$9,1,0)</x:f>
        <x:v>1</x:v>
      </x:c>
      <x:c r="W89" s="8" t="n">
        <x:f>(F89-Q89)^2</x:f>
        <x:v>0.05996016239248136</x:v>
      </x:c>
      <x:c r="X89" s="8" t="n">
        <x:f>(F89-S89)^2</x:f>
        <x:v>0.037504277208368374</x:v>
      </x:c>
      <x:c r="Y89" s="8" t="n">
        <x:f>(F89-U89)^2</x:f>
        <x:v>0.04479157916609278</x:v>
      </x:c>
    </x:row>
    <x:row r="90" ht="28" customHeight="1">
      <x:c r="A90" s="4" t="str">
        <x:v>UCSD-PTGBM-0060_01</x:v>
      </x:c>
      <x:c r="B90" s="4" t="str">
        <x:v>UCSD-PTGBM-0060</x:v>
      </x:c>
      <x:c r="C90" s="4" t="str">
        <x:v>BraTS-GLI-02315-100</x:v>
      </x:c>
      <x:c r="D90" s="4" t="str">
        <x:v>BraTS-GLI-02315</x:v>
      </x:c>
      <x:c r="E90" s="4" t="str">
        <x:v>dualid:UCSD-PTGBM-0060</x:v>
      </x:c>
      <x:c r="F90" s="6" t="n">
        <x:v>1</x:v>
      </x:c>
      <x:c r="G90" s="4" t="str">
        <x:v>derived_from_published_243_equals_192_plus_51_partition</x:v>
      </x:c>
      <x:c r="H90" s="6" t="n">
        <x:v>54</x:v>
      </x:c>
      <x:c r="I90" s="6" t="n">
        <x:v>1</x:v>
      </x:c>
      <x:c r="J90" s="6" t="n">
        <x:v>0</x:v>
      </x:c>
      <x:c r="K90" s="4" t="str">
        <x:v>-51</x:v>
      </x:c>
      <x:c r="L90" s="6" t="n">
        <x:v>51</x:v>
      </x:c>
      <x:c r="M90" s="6" t="n">
        <x:v>3.9512437186</x:v>
      </x:c>
      <x:c r="N90" s="6" t="n">
        <x:v>0</x:v>
      </x:c>
      <x:c r="O90" s="4" t="str">
        <x:v>Glioblastoma</x:v>
      </x:c>
      <x:c r="P90" s="6" t="n">
        <x:v>3</x:v>
      </x:c>
      <x:c r="Q90" s="8" t="n">
        <x:v>0.801496337</x:v>
      </x:c>
      <x:c r="R90" s="6" t="n">
        <x:f>IF(Q90&gt;=Scope!$B$9,1,0)</x:f>
        <x:v>1</x:v>
      </x:c>
      <x:c r="S90" s="8" t="n">
        <x:v>0.8376879407</x:v>
      </x:c>
      <x:c r="T90" s="6" t="n">
        <x:f>IF(S90&gt;=Scope!$B$9,1,0)</x:f>
        <x:v>1</x:v>
      </x:c>
      <x:c r="U90" s="8" t="n">
        <x:v>0.7853403141</x:v>
      </x:c>
      <x:c r="V90" s="6" t="n">
        <x:f>IF(U90&gt;=Scope!$B$9,1,0)</x:f>
        <x:v>1</x:v>
      </x:c>
      <x:c r="W90" s="8" t="n">
        <x:f>(F90-Q90)^2</x:f>
        <x:v>0.039403704224417566</x:v>
      </x:c>
      <x:c r="X90" s="8" t="n">
        <x:f>(F90-S90)^2</x:f>
        <x:v>0.026345204594206726</x:v>
      </x:c>
      <x:c r="Y90" s="8" t="n">
        <x:f>(F90-U90)^2</x:f>
        <x:v>0.04607878075068664</x:v>
      </x:c>
    </x:row>
    <x:row r="91" ht="28" customHeight="1">
      <x:c r="A91" s="4" t="str">
        <x:v>UCSD-PTGBM-0061_01</x:v>
      </x:c>
      <x:c r="B91" s="4" t="str">
        <x:v>UCSD-PTGBM-0061</x:v>
      </x:c>
      <x:c r="C91" s="4" t="str">
        <x:v>BraTS-GLI-02316-100</x:v>
      </x:c>
      <x:c r="D91" s="4" t="str">
        <x:v>BraTS-GLI-02316</x:v>
      </x:c>
      <x:c r="E91" s="4" t="str">
        <x:v>dualid:UCSD-PTGBM-0061</x:v>
      </x:c>
      <x:c r="F91" s="6" t="n">
        <x:v>1</x:v>
      </x:c>
      <x:c r="G91" s="4" t="str">
        <x:v>derived_from_published_243_equals_192_plus_51_partition</x:v>
      </x:c>
      <x:c r="H91" s="6" t="n">
        <x:v>74</x:v>
      </x:c>
      <x:c r="I91" s="6" t="n">
        <x:v>0</x:v>
      </x:c>
      <x:c r="J91" s="6" t="n">
        <x:v>0</x:v>
      </x:c>
      <x:c r="K91" s="4" t="str">
        <x:v>Unknown</x:v>
      </x:c>
      <x:c r="L91" s="6"/>
      <x:c r="M91" s="6"/>
      <x:c r="N91" s="6" t="n">
        <x:v>1</x:v>
      </x:c>
      <x:c r="O91" s="4" t="str">
        <x:v>Glioblastoma</x:v>
      </x:c>
      <x:c r="P91" s="6" t="n">
        <x:v>2</x:v>
      </x:c>
      <x:c r="Q91" s="8" t="n">
        <x:v>0.8337897186</x:v>
      </x:c>
      <x:c r="R91" s="6" t="n">
        <x:f>IF(Q91&gt;=Scope!$B$9,1,0)</x:f>
        <x:v>1</x:v>
      </x:c>
      <x:c r="S91" s="8" t="n">
        <x:v>0.9065008741</x:v>
      </x:c>
      <x:c r="T91" s="6" t="n">
        <x:f>IF(S91&gt;=Scope!$B$9,1,0)</x:f>
        <x:v>1</x:v>
      </x:c>
      <x:c r="U91" s="8" t="n">
        <x:v>0.7883597884</x:v>
      </x:c>
      <x:c r="V91" s="6" t="n">
        <x:f>IF(U91&gt;=Scope!$B$9,1,0)</x:f>
        <x:v>1</x:v>
      </x:c>
      <x:c r="W91" s="8" t="n">
        <x:f>(F91-Q91)^2</x:f>
        <x:v>0.0276258576430672</x:v>
      </x:c>
      <x:c r="X91" s="8" t="n">
        <x:f>(F91-S91)^2</x:f>
        <x:v>0.008742086544064047</x:v>
      </x:c>
      <x:c r="Y91" s="8" t="n">
        <x:f>(F91-U91)^2</x:f>
        <x:v>0.04479157916609278</x:v>
      </x:c>
    </x:row>
    <x:row r="92" ht="28" customHeight="1">
      <x:c r="A92" s="4" t="str">
        <x:v>UCSD-PTGBM-0062_01</x:v>
      </x:c>
      <x:c r="B92" s="4" t="str">
        <x:v>UCSD-PTGBM-0062</x:v>
      </x:c>
      <x:c r="C92" s="4" t="str">
        <x:v>BraTS-GLI-02317-100</x:v>
      </x:c>
      <x:c r="D92" s="4" t="str">
        <x:v>BraTS-GLI-02317</x:v>
      </x:c>
      <x:c r="E92" s="4" t="str">
        <x:v>dualid:UCSD-PTGBM-0062</x:v>
      </x:c>
      <x:c r="F92" s="6" t="n">
        <x:v>1</x:v>
      </x:c>
      <x:c r="G92" s="4" t="str">
        <x:v>derived_from_published_243_equals_192_plus_51_partition</x:v>
      </x:c>
      <x:c r="H92" s="6" t="n">
        <x:v>67</x:v>
      </x:c>
      <x:c r="I92" s="6" t="n">
        <x:v>0</x:v>
      </x:c>
      <x:c r="J92" s="6" t="n">
        <x:v>0</x:v>
      </x:c>
      <x:c r="K92" s="4" t="str">
        <x:v>-26</x:v>
      </x:c>
      <x:c r="L92" s="6" t="n">
        <x:v>26</x:v>
      </x:c>
      <x:c r="M92" s="6" t="n">
        <x:v>3.295836866</x:v>
      </x:c>
      <x:c r="N92" s="6" t="n">
        <x:v>0</x:v>
      </x:c>
      <x:c r="O92" s="4" t="str">
        <x:v>Glioblastoma</x:v>
      </x:c>
      <x:c r="P92" s="6" t="n">
        <x:v>2</x:v>
      </x:c>
      <x:c r="Q92" s="8" t="n">
        <x:v>0.8058885089</x:v>
      </x:c>
      <x:c r="R92" s="6" t="n">
        <x:f>IF(Q92&gt;=Scope!$B$9,1,0)</x:f>
        <x:v>1</x:v>
      </x:c>
      <x:c r="S92" s="8" t="n">
        <x:v>0.8661927511</x:v>
      </x:c>
      <x:c r="T92" s="6" t="n">
        <x:f>IF(S92&gt;=Scope!$B$9,1,0)</x:f>
        <x:v>1</x:v>
      </x:c>
      <x:c r="U92" s="8" t="n">
        <x:v>0.7883597884</x:v>
      </x:c>
      <x:c r="V92" s="6" t="n">
        <x:f>IF(U92&gt;=Scope!$B$9,1,0)</x:f>
        <x:v>1</x:v>
      </x:c>
      <x:c r="W92" s="8" t="n">
        <x:f>(F92-Q92)^2</x:f>
        <x:v>0.037679270977065395</x:v>
      </x:c>
      <x:c r="X92" s="8" t="n">
        <x:f>(F92-S92)^2</x:f>
        <x:v>0.017904379858186537</x:v>
      </x:c>
      <x:c r="Y92" s="8" t="n">
        <x:f>(F92-U92)^2</x:f>
        <x:v>0.04479157916609278</x:v>
      </x:c>
    </x:row>
    <x:row r="93" ht="28" customHeight="1">
      <x:c r="A93" s="4" t="str">
        <x:v>UCSD-PTGBM-0063_01</x:v>
      </x:c>
      <x:c r="B93" s="4" t="str">
        <x:v>UCSD-PTGBM-0063</x:v>
      </x:c>
      <x:c r="C93" s="4" t="str">
        <x:v>BraTS-GLI-02318-100</x:v>
      </x:c>
      <x:c r="D93" s="4" t="str">
        <x:v>BraTS-GLI-02318</x:v>
      </x:c>
      <x:c r="E93" s="4" t="str">
        <x:v>dualid:UCSD-PTGBM-0063</x:v>
      </x:c>
      <x:c r="F93" s="6" t="n">
        <x:v>1</x:v>
      </x:c>
      <x:c r="G93" s="4" t="str">
        <x:v>derived_from_published_243_equals_192_plus_51_partition</x:v>
      </x:c>
      <x:c r="H93" s="6" t="n">
        <x:v>47</x:v>
      </x:c>
      <x:c r="I93" s="6" t="n">
        <x:v>1</x:v>
      </x:c>
      <x:c r="J93" s="6" t="n">
        <x:v>0</x:v>
      </x:c>
      <x:c r="K93" s="4" t="str">
        <x:v>-36</x:v>
      </x:c>
      <x:c r="L93" s="6" t="n">
        <x:v>36</x:v>
      </x:c>
      <x:c r="M93" s="6" t="n">
        <x:v>3.6109179126</x:v>
      </x:c>
      <x:c r="N93" s="6" t="n">
        <x:v>0</x:v>
      </x:c>
      <x:c r="O93" s="4" t="str">
        <x:v>Glioblastoma</x:v>
      </x:c>
      <x:c r="P93" s="6" t="n">
        <x:v>1</x:v>
      </x:c>
      <x:c r="Q93" s="8" t="n">
        <x:v>0.7843499149</x:v>
      </x:c>
      <x:c r="R93" s="6" t="n">
        <x:f>IF(Q93&gt;=Scope!$B$9,1,0)</x:f>
        <x:v>1</x:v>
      </x:c>
      <x:c r="S93" s="8" t="n">
        <x:v>0.8415354004</x:v>
      </x:c>
      <x:c r="T93" s="6" t="n">
        <x:f>IF(S93&gt;=Scope!$B$9,1,0)</x:f>
        <x:v>1</x:v>
      </x:c>
      <x:c r="U93" s="8" t="n">
        <x:v>0.7842105263</x:v>
      </x:c>
      <x:c r="V93" s="6" t="n">
        <x:f>IF(U93&gt;=Scope!$B$9,1,0)</x:f>
        <x:v>1</x:v>
      </x:c>
      <x:c r="W93" s="8" t="n">
        <x:f>(F93-Q93)^2</x:f>
        <x:v>0.046504959203637265</x:v>
      </x:c>
      <x:c r="X93" s="8" t="n">
        <x:f>(F93-S93)^2</x:f>
        <x:v>0.02511102932638833</x:v>
      </x:c>
      <x:c r="Y93" s="8" t="n">
        <x:f>(F93-U93)^2</x:f>
        <x:v>0.046565096959722996</x:v>
      </x:c>
    </x:row>
    <x:row r="94" ht="28" customHeight="1">
      <x:c r="A94" s="4" t="str">
        <x:v>UCSD-PTGBM-0064_01</x:v>
      </x:c>
      <x:c r="B94" s="4" t="str">
        <x:v>UCSD-PTGBM-0064</x:v>
      </x:c>
      <x:c r="C94" s="4" t="str">
        <x:v>BraTS-GLI-02319-100</x:v>
      </x:c>
      <x:c r="D94" s="4" t="str">
        <x:v>BraTS-GLI-02319</x:v>
      </x:c>
      <x:c r="E94" s="4" t="str">
        <x:v>dualid:UCSD-PTGBM-0064</x:v>
      </x:c>
      <x:c r="F94" s="6" t="n">
        <x:v>1</x:v>
      </x:c>
      <x:c r="G94" s="4" t="str">
        <x:v>derived_from_published_243_equals_192_plus_51_partition</x:v>
      </x:c>
      <x:c r="H94" s="6" t="n">
        <x:v>76</x:v>
      </x:c>
      <x:c r="I94" s="6" t="n">
        <x:v>1</x:v>
      </x:c>
      <x:c r="J94" s="6" t="n">
        <x:v>0</x:v>
      </x:c>
      <x:c r="K94" s="4" t="str">
        <x:v>-42</x:v>
      </x:c>
      <x:c r="L94" s="6" t="n">
        <x:v>42</x:v>
      </x:c>
      <x:c r="M94" s="6" t="n">
        <x:v>3.7612001157</x:v>
      </x:c>
      <x:c r="N94" s="6" t="n">
        <x:v>0</x:v>
      </x:c>
      <x:c r="O94" s="4" t="str">
        <x:v>Glioblastoma</x:v>
      </x:c>
      <x:c r="P94" s="6" t="n">
        <x:v>3</x:v>
      </x:c>
      <x:c r="Q94" s="8" t="n">
        <x:v>0.8799357707</x:v>
      </x:c>
      <x:c r="R94" s="6" t="n">
        <x:f>IF(Q94&gt;=Scope!$B$9,1,0)</x:f>
        <x:v>1</x:v>
      </x:c>
      <x:c r="S94" s="8" t="n">
        <x:v>0.8863391612</x:v>
      </x:c>
      <x:c r="T94" s="6" t="n">
        <x:f>IF(S94&gt;=Scope!$B$9,1,0)</x:f>
        <x:v>1</x:v>
      </x:c>
      <x:c r="U94" s="8" t="n">
        <x:v>0.7853403141</x:v>
      </x:c>
      <x:c r="V94" s="6" t="n">
        <x:f>IF(U94&gt;=Scope!$B$9,1,0)</x:f>
        <x:v>1</x:v>
      </x:c>
      <x:c r="W94" s="8" t="n">
        <x:f>(F94-Q94)^2</x:f>
        <x:v>0.01441541915740299</x:v>
      </x:c>
      <x:c r="X94" s="8" t="n">
        <x:f>(F94-S94)^2</x:f>
        <x:v>0.012918786276719585</x:v>
      </x:c>
      <x:c r="Y94" s="8" t="n">
        <x:f>(F94-U94)^2</x:f>
        <x:v>0.04607878075068664</x:v>
      </x:c>
    </x:row>
    <x:row r="95" ht="28" customHeight="1">
      <x:c r="A95" s="4" t="str">
        <x:v>UCSD-PTGBM-0065_01</x:v>
      </x:c>
      <x:c r="B95" s="4" t="str">
        <x:v>UCSD-PTGBM-0065</x:v>
      </x:c>
      <x:c r="C95" s="4" t="str">
        <x:v>BraTS-GLI-02320-100</x:v>
      </x:c>
      <x:c r="D95" s="4" t="str">
        <x:v>BraTS-GLI-02320</x:v>
      </x:c>
      <x:c r="E95" s="4" t="str">
        <x:v>dualid:UCSD-PTGBM-0065</x:v>
      </x:c>
      <x:c r="F95" s="6" t="n">
        <x:v>0</x:v>
      </x:c>
      <x:c r="G95" s="4" t="str">
        <x:v>explicit_negative_case_list</x:v>
      </x:c>
      <x:c r="H95" s="6" t="n">
        <x:v>33</x:v>
      </x:c>
      <x:c r="I95" s="6" t="n">
        <x:v>1</x:v>
      </x:c>
      <x:c r="J95" s="6" t="n">
        <x:v>0</x:v>
      </x:c>
      <x:c r="K95" s="4" t="str">
        <x:v>Unknown</x:v>
      </x:c>
      <x:c r="L95" s="6"/>
      <x:c r="M95" s="6"/>
      <x:c r="N95" s="6" t="n">
        <x:v>1</x:v>
      </x:c>
      <x:c r="O95" s="4" t="str">
        <x:v>Glioblastoma</x:v>
      </x:c>
      <x:c r="P95" s="6" t="n">
        <x:v>1</x:v>
      </x:c>
      <x:c r="Q95" s="8" t="n">
        <x:v>0.7162556055</x:v>
      </x:c>
      <x:c r="R95" s="6" t="n">
        <x:f>IF(Q95&gt;=Scope!$B$9,1,0)</x:f>
        <x:v>1</x:v>
      </x:c>
      <x:c r="S95" s="8" t="n">
        <x:v>0.8605855925</x:v>
      </x:c>
      <x:c r="T95" s="6" t="n">
        <x:f>IF(S95&gt;=Scope!$B$9,1,0)</x:f>
        <x:v>1</x:v>
      </x:c>
      <x:c r="U95" s="8" t="n">
        <x:v>0.7842105263</x:v>
      </x:c>
      <x:c r="V95" s="6" t="n">
        <x:f>IF(U95&gt;=Scope!$B$9,1,0)</x:f>
        <x:v>1</x:v>
      </x:c>
      <x:c r="W95" s="8" t="n">
        <x:f>(F95-Q95)^2</x:f>
        <x:v>0.5130220924101716</x:v>
      </x:c>
      <x:c r="X95" s="8" t="n">
        <x:f>(F95-S95)^2</x:f>
        <x:v>0.740607562018576</x:v>
      </x:c>
      <x:c r="Y95" s="8" t="n">
        <x:f>(F95-U95)^2</x:f>
        <x:v>0.614986149559723</x:v>
      </x:c>
    </x:row>
    <x:row r="96" ht="28" customHeight="1">
      <x:c r="A96" s="4" t="str">
        <x:v>UCSD-PTGBM-0066_01</x:v>
      </x:c>
      <x:c r="B96" s="4" t="str">
        <x:v>UCSD-PTGBM-0066</x:v>
      </x:c>
      <x:c r="C96" s="4" t="str">
        <x:v>BraTS-GLI-02321-100</x:v>
      </x:c>
      <x:c r="D96" s="4" t="str">
        <x:v>BraTS-GLI-02321</x:v>
      </x:c>
      <x:c r="E96" s="4" t="str">
        <x:v>dualid:UCSD-PTGBM-0066</x:v>
      </x:c>
      <x:c r="F96" s="6" t="n">
        <x:v>1</x:v>
      </x:c>
      <x:c r="G96" s="4" t="str">
        <x:v>derived_from_published_243_equals_192_plus_51_partition</x:v>
      </x:c>
      <x:c r="H96" s="6" t="n">
        <x:v>62</x:v>
      </x:c>
      <x:c r="I96" s="6" t="n">
        <x:v>1</x:v>
      </x:c>
      <x:c r="J96" s="6" t="n">
        <x:v>0</x:v>
      </x:c>
      <x:c r="K96" s="4" t="str">
        <x:v>Unknown</x:v>
      </x:c>
      <x:c r="L96" s="6"/>
      <x:c r="M96" s="6"/>
      <x:c r="N96" s="6" t="n">
        <x:v>1</x:v>
      </x:c>
      <x:c r="O96" s="4" t="str">
        <x:v>Glioblastoma</x:v>
      </x:c>
      <x:c r="P96" s="6" t="n">
        <x:v>1</x:v>
      </x:c>
      <x:c r="Q96" s="8" t="n">
        <x:v>0.8432380868</x:v>
      </x:c>
      <x:c r="R96" s="6" t="n">
        <x:f>IF(Q96&gt;=Scope!$B$9,1,0)</x:f>
        <x:v>1</x:v>
      </x:c>
      <x:c r="S96" s="8" t="n">
        <x:v>0.9010633871</x:v>
      </x:c>
      <x:c r="T96" s="6" t="n">
        <x:f>IF(S96&gt;=Scope!$B$9,1,0)</x:f>
        <x:v>1</x:v>
      </x:c>
      <x:c r="U96" s="8" t="n">
        <x:v>0.7842105263</x:v>
      </x:c>
      <x:c r="V96" s="6" t="n">
        <x:f>IF(U96&gt;=Scope!$B$9,1,0)</x:f>
        <x:v>1</x:v>
      </x:c>
      <x:c r="W96" s="8" t="n">
        <x:f>(F96-Q96)^2</x:f>
        <x:v>0.02457429743012433</x:v>
      </x:c>
      <x:c r="X96" s="8" t="n">
        <x:f>(F96-S96)^2</x:f>
        <x:v>0.009788453372124447</x:v>
      </x:c>
      <x:c r="Y96" s="8" t="n">
        <x:f>(F96-U96)^2</x:f>
        <x:v>0.046565096959722996</x:v>
      </x:c>
    </x:row>
    <x:row r="97" ht="28" customHeight="1">
      <x:c r="A97" s="4" t="str">
        <x:v>UCSD-PTGBM-0066_02</x:v>
      </x:c>
      <x:c r="B97" s="4" t="str">
        <x:v>UCSD-PTGBM-0066</x:v>
      </x:c>
      <x:c r="C97" s="4" t="str">
        <x:v>BraTS-GLI-02321-101</x:v>
      </x:c>
      <x:c r="D97" s="4" t="str">
        <x:v>BraTS-GLI-02321</x:v>
      </x:c>
      <x:c r="E97" s="4" t="str">
        <x:v>dualid:UCSD-PTGBM-0066</x:v>
      </x:c>
      <x:c r="F97" s="6" t="n">
        <x:v>0</x:v>
      </x:c>
      <x:c r="G97" s="4" t="str">
        <x:v>explicit_negative_case_list</x:v>
      </x:c>
      <x:c r="H97" s="6" t="n">
        <x:v>62</x:v>
      </x:c>
      <x:c r="I97" s="6" t="n">
        <x:v>1</x:v>
      </x:c>
      <x:c r="J97" s="6" t="n">
        <x:v>0</x:v>
      </x:c>
      <x:c r="K97" s="4" t="str">
        <x:v>-19</x:v>
      </x:c>
      <x:c r="L97" s="6" t="n">
        <x:v>19</x:v>
      </x:c>
      <x:c r="M97" s="6" t="n">
        <x:v>2.9957322735</x:v>
      </x:c>
      <x:c r="N97" s="6" t="n">
        <x:v>0</x:v>
      </x:c>
      <x:c r="O97" s="4" t="str">
        <x:v>Glioblastoma</x:v>
      </x:c>
      <x:c r="P97" s="6" t="n">
        <x:v>1</x:v>
      </x:c>
      <x:c r="Q97" s="8" t="n">
        <x:v>0.8432380868</x:v>
      </x:c>
      <x:c r="R97" s="6" t="n">
        <x:f>IF(Q97&gt;=Scope!$B$9,1,0)</x:f>
        <x:v>1</x:v>
      </x:c>
      <x:c r="S97" s="8" t="n">
        <x:v>0.8922802521</x:v>
      </x:c>
      <x:c r="T97" s="6" t="n">
        <x:f>IF(S97&gt;=Scope!$B$9,1,0)</x:f>
        <x:v>1</x:v>
      </x:c>
      <x:c r="U97" s="8" t="n">
        <x:v>0.7842105263</x:v>
      </x:c>
      <x:c r="V97" s="6" t="n">
        <x:f>IF(U97&gt;=Scope!$B$9,1,0)</x:f>
        <x:v>1</x:v>
      </x:c>
      <x:c r="W97" s="8" t="n">
        <x:f>(F97-Q97)^2</x:f>
        <x:v>0.7110504710301243</x:v>
      </x:c>
      <x:c r="X97" s="8" t="n">
        <x:f>(F97-S97)^2</x:f>
        <x:v>0.7961640482876394</x:v>
      </x:c>
      <x:c r="Y97" s="8" t="n">
        <x:f>(F97-U97)^2</x:f>
        <x:v>0.614986149559723</x:v>
      </x:c>
    </x:row>
    <x:row r="98" ht="28" customHeight="1">
      <x:c r="A98" s="4" t="str">
        <x:v>UCSD-PTGBM-0067_01</x:v>
      </x:c>
      <x:c r="B98" s="4" t="str">
        <x:v>UCSD-PTGBM-0067</x:v>
      </x:c>
      <x:c r="C98" s="4" t="str">
        <x:v>BraTS-GLI-02322-100</x:v>
      </x:c>
      <x:c r="D98" s="4" t="str">
        <x:v>BraTS-GLI-02322</x:v>
      </x:c>
      <x:c r="E98" s="4" t="str">
        <x:v>dualid:UCSD-PTGBM-0067</x:v>
      </x:c>
      <x:c r="F98" s="6" t="n">
        <x:v>1</x:v>
      </x:c>
      <x:c r="G98" s="4" t="str">
        <x:v>derived_from_published_243_equals_192_plus_51_partition</x:v>
      </x:c>
      <x:c r="H98" s="6" t="n">
        <x:v>60</x:v>
      </x:c>
      <x:c r="I98" s="6" t="n">
        <x:v>1</x:v>
      </x:c>
      <x:c r="J98" s="6" t="n">
        <x:v>0</x:v>
      </x:c>
      <x:c r="K98" s="4" t="str">
        <x:v>-33</x:v>
      </x:c>
      <x:c r="L98" s="6" t="n">
        <x:v>33</x:v>
      </x:c>
      <x:c r="M98" s="6" t="n">
        <x:v>3.5263605246</x:v>
      </x:c>
      <x:c r="N98" s="6" t="n">
        <x:v>0</x:v>
      </x:c>
      <x:c r="O98" s="4" t="str">
        <x:v>Glioblastoma</x:v>
      </x:c>
      <x:c r="P98" s="6" t="n">
        <x:v>5</x:v>
      </x:c>
      <x:c r="Q98" s="8" t="n">
        <x:v>0.8349596909</x:v>
      </x:c>
      <x:c r="R98" s="6" t="n">
        <x:f>IF(Q98&gt;=Scope!$B$9,1,0)</x:f>
        <x:v>1</x:v>
      </x:c>
      <x:c r="S98" s="8" t="n">
        <x:v>0.8821550774</x:v>
      </x:c>
      <x:c r="T98" s="6" t="n">
        <x:f>IF(S98&gt;=Scope!$B$9,1,0)</x:f>
        <x:v>1</x:v>
      </x:c>
      <x:c r="U98" s="8" t="n">
        <x:v>0.7853403141</x:v>
      </x:c>
      <x:c r="V98" s="6" t="n">
        <x:f>IF(U98&gt;=Scope!$B$9,1,0)</x:f>
        <x:v>1</x:v>
      </x:c>
      <x:c r="W98" s="8" t="n">
        <x:f>(F98-Q98)^2</x:f>
        <x:v>0.027238303627823545</x:v>
      </x:c>
      <x:c r="X98" s="8" t="n">
        <x:f>(F98-S98)^2</x:f>
        <x:v>0.013887425782599994</x:v>
      </x:c>
      <x:c r="Y98" s="8" t="n">
        <x:f>(F98-U98)^2</x:f>
        <x:v>0.04607878075068664</x:v>
      </x:c>
    </x:row>
    <x:row r="99" ht="28" customHeight="1">
      <x:c r="A99" s="4" t="str">
        <x:v>UCSD-PTGBM-0068_01</x:v>
      </x:c>
      <x:c r="B99" s="4" t="str">
        <x:v>UCSD-PTGBM-0068</x:v>
      </x:c>
      <x:c r="C99" s="4" t="str">
        <x:v>BraTS-GLI-02323-100</x:v>
      </x:c>
      <x:c r="D99" s="4" t="str">
        <x:v>BraTS-GLI-02323</x:v>
      </x:c>
      <x:c r="E99" s="4" t="str">
        <x:v>dualid:UCSD-PTGBM-0068</x:v>
      </x:c>
      <x:c r="F99" s="6" t="n">
        <x:v>1</x:v>
      </x:c>
      <x:c r="G99" s="4" t="str">
        <x:v>derived_from_published_243_equals_192_plus_51_partition</x:v>
      </x:c>
      <x:c r="H99" s="6" t="n">
        <x:v>53</x:v>
      </x:c>
      <x:c r="I99" s="6" t="n">
        <x:v>1</x:v>
      </x:c>
      <x:c r="J99" s="6" t="n">
        <x:v>0</x:v>
      </x:c>
      <x:c r="K99" s="4" t="str">
        <x:v>-43</x:v>
      </x:c>
      <x:c r="L99" s="6" t="n">
        <x:v>43</x:v>
      </x:c>
      <x:c r="M99" s="6" t="n">
        <x:v>3.7841896339</x:v>
      </x:c>
      <x:c r="N99" s="6" t="n">
        <x:v>0</x:v>
      </x:c>
      <x:c r="O99" s="4" t="str">
        <x:v>Glioblastoma</x:v>
      </x:c>
      <x:c r="P99" s="6" t="n">
        <x:v>2</x:v>
      </x:c>
      <x:c r="Q99" s="8" t="n">
        <x:v>0.8001013788</x:v>
      </x:c>
      <x:c r="R99" s="6" t="n">
        <x:f>IF(Q99&gt;=Scope!$B$9,1,0)</x:f>
        <x:v>1</x:v>
      </x:c>
      <x:c r="S99" s="8" t="n">
        <x:v>0.8300608004</x:v>
      </x:c>
      <x:c r="T99" s="6" t="n">
        <x:f>IF(S99&gt;=Scope!$B$9,1,0)</x:f>
        <x:v>1</x:v>
      </x:c>
      <x:c r="U99" s="8" t="n">
        <x:v>0.7883597884</x:v>
      </x:c>
      <x:c r="V99" s="6" t="n">
        <x:f>IF(U99&gt;=Scope!$B$9,1,0)</x:f>
        <x:v>1</x:v>
      </x:c>
      <x:c r="W99" s="8" t="n">
        <x:f>(F99-Q99)^2</x:f>
        <x:v>0.0399594587576611</x:v>
      </x:c>
      <x:c r="X99" s="8" t="n">
        <x:f>(F99-S99)^2</x:f>
        <x:v>0.028879331560688653</x:v>
      </x:c>
      <x:c r="Y99" s="8" t="n">
        <x:f>(F99-U99)^2</x:f>
        <x:v>0.04479157916609278</x:v>
      </x:c>
    </x:row>
    <x:row r="100" ht="28" customHeight="1">
      <x:c r="A100" s="4" t="str">
        <x:v>UCSD-PTGBM-0069_01</x:v>
      </x:c>
      <x:c r="B100" s="4" t="str">
        <x:v>UCSD-PTGBM-0069</x:v>
      </x:c>
      <x:c r="C100" s="4" t="str">
        <x:v>BraTS-GLI-02324-100</x:v>
      </x:c>
      <x:c r="D100" s="4" t="str">
        <x:v>BraTS-GLI-02324</x:v>
      </x:c>
      <x:c r="E100" s="4" t="str">
        <x:v>dualid:UCSD-PTGBM-0069</x:v>
      </x:c>
      <x:c r="F100" s="6" t="n">
        <x:v>1</x:v>
      </x:c>
      <x:c r="G100" s="4" t="str">
        <x:v>derived_from_published_243_equals_192_plus_51_partition</x:v>
      </x:c>
      <x:c r="H100" s="6" t="n">
        <x:v>45</x:v>
      </x:c>
      <x:c r="I100" s="6" t="n">
        <x:v>1</x:v>
      </x:c>
      <x:c r="J100" s="6" t="n">
        <x:v>0</x:v>
      </x:c>
      <x:c r="K100" s="4" t="str">
        <x:v>-12</x:v>
      </x:c>
      <x:c r="L100" s="6" t="n">
        <x:v>12</x:v>
      </x:c>
      <x:c r="M100" s="6" t="n">
        <x:v>2.5649493575</x:v>
      </x:c>
      <x:c r="N100" s="6" t="n">
        <x:v>0</x:v>
      </x:c>
      <x:c r="O100" s="4" t="str">
        <x:v>Glioblastoma</x:v>
      </x:c>
      <x:c r="P100" s="6" t="n">
        <x:v>5</x:v>
      </x:c>
      <x:c r="Q100" s="8" t="n">
        <x:v>0.7573806986</x:v>
      </x:c>
      <x:c r="R100" s="6" t="n">
        <x:f>IF(Q100&gt;=Scope!$B$9,1,0)</x:f>
        <x:v>1</x:v>
      </x:c>
      <x:c r="S100" s="8" t="n">
        <x:v>0.89933693</x:v>
      </x:c>
      <x:c r="T100" s="6" t="n">
        <x:f>IF(S100&gt;=Scope!$B$9,1,0)</x:f>
        <x:v>1</x:v>
      </x:c>
      <x:c r="U100" s="8" t="n">
        <x:v>0.7853403141</x:v>
      </x:c>
      <x:c r="V100" s="6" t="n">
        <x:f>IF(U100&gt;=Scope!$B$9,1,0)</x:f>
        <x:v>1</x:v>
      </x:c>
      <x:c r="W100" s="8" t="n">
        <x:f>(F100-Q100)^2</x:f>
        <x:v>0.058864125411824036</x:v>
      </x:c>
      <x:c r="X100" s="8" t="n">
        <x:f>(F100-S100)^2</x:f>
        <x:v>0.010133053661824893</x:v>
      </x:c>
      <x:c r="Y100" s="8" t="n">
        <x:f>(F100-U100)^2</x:f>
        <x:v>0.04607878075068664</x:v>
      </x:c>
    </x:row>
    <x:row r="101" ht="28" customHeight="1">
      <x:c r="A101" s="4" t="str">
        <x:v>UCSD-PTGBM-0070_01</x:v>
      </x:c>
      <x:c r="B101" s="4" t="str">
        <x:v>UCSD-PTGBM-0070</x:v>
      </x:c>
      <x:c r="C101" s="4" t="str">
        <x:v>BraTS-GLI-02325-100</x:v>
      </x:c>
      <x:c r="D101" s="4" t="str">
        <x:v>BraTS-GLI-02325</x:v>
      </x:c>
      <x:c r="E101" s="4" t="str">
        <x:v>dualid:UCSD-PTGBM-0070</x:v>
      </x:c>
      <x:c r="F101" s="6" t="n">
        <x:v>1</x:v>
      </x:c>
      <x:c r="G101" s="4" t="str">
        <x:v>derived_from_published_243_equals_192_plus_51_partition</x:v>
      </x:c>
      <x:c r="H101" s="6" t="n">
        <x:v>61</x:v>
      </x:c>
      <x:c r="I101" s="6" t="n">
        <x:v>1</x:v>
      </x:c>
      <x:c r="J101" s="6" t="n">
        <x:v>0</x:v>
      </x:c>
      <x:c r="K101" s="4" t="str">
        <x:v>-28</x:v>
      </x:c>
      <x:c r="L101" s="6" t="n">
        <x:v>28</x:v>
      </x:c>
      <x:c r="M101" s="6" t="n">
        <x:v>3.36729583</x:v>
      </x:c>
      <x:c r="N101" s="6" t="n">
        <x:v>0</x:v>
      </x:c>
      <x:c r="O101" s="4" t="str">
        <x:v>Glioblastoma</x:v>
      </x:c>
      <x:c r="P101" s="6" t="n">
        <x:v>2</x:v>
      </x:c>
      <x:c r="Q101" s="8" t="n">
        <x:v>0.8324614662</x:v>
      </x:c>
      <x:c r="R101" s="6" t="n">
        <x:f>IF(Q101&gt;=Scope!$B$9,1,0)</x:f>
        <x:v>1</x:v>
      </x:c>
      <x:c r="S101" s="8" t="n">
        <x:v>0.8693434174</x:v>
      </x:c>
      <x:c r="T101" s="6" t="n">
        <x:f>IF(S101&gt;=Scope!$B$9,1,0)</x:f>
        <x:v>1</x:v>
      </x:c>
      <x:c r="U101" s="8" t="n">
        <x:v>0.7883597884</x:v>
      </x:c>
      <x:c r="V101" s="6" t="n">
        <x:f>IF(U101&gt;=Scope!$B$9,1,0)</x:f>
        <x:v>1</x:v>
      </x:c>
      <x:c r="W101" s="8" t="n">
        <x:f>(F101-Q101)^2</x:f>
        <x:v>0.028069160307853724</x:v>
      </x:c>
      <x:c r="X101" s="8" t="n">
        <x:f>(F101-S101)^2</x:f>
        <x:v>0.017071142576710628</x:v>
      </x:c>
      <x:c r="Y101" s="8" t="n">
        <x:f>(F101-U101)^2</x:f>
        <x:v>0.04479157916609278</x:v>
      </x:c>
    </x:row>
    <x:row r="102" ht="28" customHeight="1">
      <x:c r="A102" s="4" t="str">
        <x:v>UCSD-PTGBM-0071_01</x:v>
      </x:c>
      <x:c r="B102" s="4" t="str">
        <x:v>UCSD-PTGBM-0071</x:v>
      </x:c>
      <x:c r="C102" s="4" t="str">
        <x:v>BraTS-GLI-02326-100</x:v>
      </x:c>
      <x:c r="D102" s="4" t="str">
        <x:v>BraTS-GLI-02326</x:v>
      </x:c>
      <x:c r="E102" s="4" t="str">
        <x:v>dualid:UCSD-PTGBM-0071</x:v>
      </x:c>
      <x:c r="F102" s="6" t="n">
        <x:v>1</x:v>
      </x:c>
      <x:c r="G102" s="4" t="str">
        <x:v>derived_from_published_243_equals_192_plus_51_partition</x:v>
      </x:c>
      <x:c r="H102" s="6" t="n">
        <x:v>70</x:v>
      </x:c>
      <x:c r="I102" s="6" t="n">
        <x:v>1</x:v>
      </x:c>
      <x:c r="J102" s="6" t="n">
        <x:v>0</x:v>
      </x:c>
      <x:c r="K102" s="4" t="str">
        <x:v>-42</x:v>
      </x:c>
      <x:c r="L102" s="6" t="n">
        <x:v>42</x:v>
      </x:c>
      <x:c r="M102" s="6" t="n">
        <x:v>3.7612001157</x:v>
      </x:c>
      <x:c r="N102" s="6" t="n">
        <x:v>0</x:v>
      </x:c>
      <x:c r="O102" s="4" t="str">
        <x:v>Glioblastoma</x:v>
      </x:c>
      <x:c r="P102" s="6" t="n">
        <x:v>4</x:v>
      </x:c>
      <x:c r="Q102" s="8" t="n">
        <x:v>0.8803007036</x:v>
      </x:c>
      <x:c r="R102" s="6" t="n">
        <x:f>IF(Q102&gt;=Scope!$B$9,1,0)</x:f>
        <x:v>1</x:v>
      </x:c>
      <x:c r="S102" s="8" t="n">
        <x:v>0.9132351275</x:v>
      </x:c>
      <x:c r="T102" s="6" t="n">
        <x:f>IF(S102&gt;=Scope!$B$9,1,0)</x:f>
        <x:v>1</x:v>
      </x:c>
      <x:c r="U102" s="8" t="n">
        <x:v>0.7853403141</x:v>
      </x:c>
      <x:c r="V102" s="6" t="n">
        <x:f>IF(U102&gt;=Scope!$B$9,1,0)</x:f>
        <x:v>1</x:v>
      </x:c>
      <x:c r="W102" s="8" t="n">
        <x:f>(F102-Q102)^2</x:f>
        <x:v>0.01432792155865505</x:v>
      </x:c>
      <x:c r="X102" s="8" t="n">
        <x:f>(F102-S102)^2</x:f>
        <x:v>0.0075281430999412525</x:v>
      </x:c>
      <x:c r="Y102" s="8" t="n">
        <x:f>(F102-U102)^2</x:f>
        <x:v>0.04607878075068664</x:v>
      </x:c>
    </x:row>
    <x:row r="103" ht="28" customHeight="1">
      <x:c r="A103" s="4" t="str">
        <x:v>UCSD-PTGBM-0072_01</x:v>
      </x:c>
      <x:c r="B103" s="4" t="str">
        <x:v>UCSD-PTGBM-0072</x:v>
      </x:c>
      <x:c r="C103" s="4" t="str">
        <x:v>BraTS-GLI-02327-100</x:v>
      </x:c>
      <x:c r="D103" s="4" t="str">
        <x:v>BraTS-GLI-02327</x:v>
      </x:c>
      <x:c r="E103" s="4" t="str">
        <x:v>dualid:UCSD-PTGBM-0072</x:v>
      </x:c>
      <x:c r="F103" s="6" t="n">
        <x:v>1</x:v>
      </x:c>
      <x:c r="G103" s="4" t="str">
        <x:v>derived_from_published_243_equals_192_plus_51_partition</x:v>
      </x:c>
      <x:c r="H103" s="6" t="n">
        <x:v>56</x:v>
      </x:c>
      <x:c r="I103" s="6" t="n">
        <x:v>1</x:v>
      </x:c>
      <x:c r="J103" s="6" t="n">
        <x:v>0</x:v>
      </x:c>
      <x:c r="K103" s="4" t="str">
        <x:v>-21</x:v>
      </x:c>
      <x:c r="L103" s="6" t="n">
        <x:v>21</x:v>
      </x:c>
      <x:c r="M103" s="6" t="n">
        <x:v>3.0910424534</x:v>
      </x:c>
      <x:c r="N103" s="6" t="n">
        <x:v>0</x:v>
      </x:c>
      <x:c r="O103" s="4" t="str">
        <x:v>Glioblastoma</x:v>
      </x:c>
      <x:c r="P103" s="6" t="n">
        <x:v>5</x:v>
      </x:c>
      <x:c r="Q103" s="8" t="n">
        <x:v>0.8164444275</x:v>
      </x:c>
      <x:c r="R103" s="6" t="n">
        <x:f>IF(Q103&gt;=Scope!$B$9,1,0)</x:f>
        <x:v>1</x:v>
      </x:c>
      <x:c r="S103" s="8" t="n">
        <x:v>0.8954229379</x:v>
      </x:c>
      <x:c r="T103" s="6" t="n">
        <x:f>IF(S103&gt;=Scope!$B$9,1,0)</x:f>
        <x:v>1</x:v>
      </x:c>
      <x:c r="U103" s="8" t="n">
        <x:v>0.7853403141</x:v>
      </x:c>
      <x:c r="V103" s="6" t="n">
        <x:f>IF(U103&gt;=Scope!$B$9,1,0)</x:f>
        <x:v>1</x:v>
      </x:c>
      <x:c r="W103" s="8" t="n">
        <x:f>(F103-Q103)^2</x:f>
        <x:v>0.03369264819580275</x:v>
      </x:c>
      <x:c r="X103" s="8" t="n">
        <x:f>(F103-S103)^2</x:f>
        <x:v>0.010936361917467247</x:v>
      </x:c>
      <x:c r="Y103" s="8" t="n">
        <x:f>(F103-U103)^2</x:f>
        <x:v>0.04607878075068664</x:v>
      </x:c>
    </x:row>
    <x:row r="104" ht="28" customHeight="1">
      <x:c r="A104" s="4" t="str">
        <x:v>UCSD-PTGBM-0073_01</x:v>
      </x:c>
      <x:c r="B104" s="4" t="str">
        <x:v>UCSD-PTGBM-0073</x:v>
      </x:c>
      <x:c r="C104" s="4" t="str">
        <x:v>BraTS-GLI-02328-100</x:v>
      </x:c>
      <x:c r="D104" s="4" t="str">
        <x:v>BraTS-GLI-02328</x:v>
      </x:c>
      <x:c r="E104" s="4" t="str">
        <x:v>dualid:UCSD-PTGBM-0073</x:v>
      </x:c>
      <x:c r="F104" s="6" t="n">
        <x:v>1</x:v>
      </x:c>
      <x:c r="G104" s="4" t="str">
        <x:v>derived_from_published_243_equals_192_plus_51_partition</x:v>
      </x:c>
      <x:c r="H104" s="6" t="n">
        <x:v>66</x:v>
      </x:c>
      <x:c r="I104" s="6" t="n">
        <x:v>1</x:v>
      </x:c>
      <x:c r="J104" s="6" t="n">
        <x:v>0</x:v>
      </x:c>
      <x:c r="K104" s="4" t="str">
        <x:v>Unknown</x:v>
      </x:c>
      <x:c r="L104" s="6"/>
      <x:c r="M104" s="6"/>
      <x:c r="N104" s="6" t="n">
        <x:v>1</x:v>
      </x:c>
      <x:c r="O104" s="4" t="str">
        <x:v>Glioblastoma</x:v>
      </x:c>
      <x:c r="P104" s="6" t="n">
        <x:v>3</x:v>
      </x:c>
      <x:c r="Q104" s="8" t="n">
        <x:v>0.8482376654</x:v>
      </x:c>
      <x:c r="R104" s="6" t="n">
        <x:f>IF(Q104&gt;=Scope!$B$9,1,0)</x:f>
        <x:v>1</x:v>
      </x:c>
      <x:c r="S104" s="8" t="n">
        <x:v>0.9217082031</x:v>
      </x:c>
      <x:c r="T104" s="6" t="n">
        <x:f>IF(S104&gt;=Scope!$B$9,1,0)</x:f>
        <x:v>1</x:v>
      </x:c>
      <x:c r="U104" s="8" t="n">
        <x:v>0.7853403141</x:v>
      </x:c>
      <x:c r="V104" s="6" t="n">
        <x:f>IF(U104&gt;=Scope!$B$9,1,0)</x:f>
        <x:v>1</x:v>
      </x:c>
      <x:c r="W104" s="8" t="n">
        <x:f>(F104-Q104)^2</x:f>
        <x:v>0.023031806203242355</x:v>
      </x:c>
      <x:c r="X104" s="8" t="n">
        <x:f>(F104-S104)^2</x:f>
        <x:v>0.006129605461830848</x:v>
      </x:c>
      <x:c r="Y104" s="8" t="n">
        <x:f>(F104-U104)^2</x:f>
        <x:v>0.04607878075068664</x:v>
      </x:c>
    </x:row>
    <x:row r="105" ht="28" customHeight="1">
      <x:c r="A105" s="4" t="str">
        <x:v>UCSD-PTGBM-0073_02</x:v>
      </x:c>
      <x:c r="B105" s="4" t="str">
        <x:v>UCSD-PTGBM-0073</x:v>
      </x:c>
      <x:c r="C105" s="4" t="str">
        <x:v>BraTS-GLI-02328-101</x:v>
      </x:c>
      <x:c r="D105" s="4" t="str">
        <x:v>BraTS-GLI-02328</x:v>
      </x:c>
      <x:c r="E105" s="4" t="str">
        <x:v>dualid:UCSD-PTGBM-0073</x:v>
      </x:c>
      <x:c r="F105" s="6" t="n">
        <x:v>1</x:v>
      </x:c>
      <x:c r="G105" s="4" t="str">
        <x:v>derived_from_published_243_equals_192_plus_51_partition</x:v>
      </x:c>
      <x:c r="H105" s="6" t="n">
        <x:v>66</x:v>
      </x:c>
      <x:c r="I105" s="6" t="n">
        <x:v>1</x:v>
      </x:c>
      <x:c r="J105" s="6" t="n">
        <x:v>0</x:v>
      </x:c>
      <x:c r="K105" s="4" t="str">
        <x:v>Unknown</x:v>
      </x:c>
      <x:c r="L105" s="6"/>
      <x:c r="M105" s="6"/>
      <x:c r="N105" s="6" t="n">
        <x:v>1</x:v>
      </x:c>
      <x:c r="O105" s="4" t="str">
        <x:v>Glioblastoma</x:v>
      </x:c>
      <x:c r="P105" s="6" t="n">
        <x:v>3</x:v>
      </x:c>
      <x:c r="Q105" s="8" t="n">
        <x:v>0.8482376654</x:v>
      </x:c>
      <x:c r="R105" s="6" t="n">
        <x:f>IF(Q105&gt;=Scope!$B$9,1,0)</x:f>
        <x:v>1</x:v>
      </x:c>
      <x:c r="S105" s="8" t="n">
        <x:v>0.9217082031</x:v>
      </x:c>
      <x:c r="T105" s="6" t="n">
        <x:f>IF(S105&gt;=Scope!$B$9,1,0)</x:f>
        <x:v>1</x:v>
      </x:c>
      <x:c r="U105" s="8" t="n">
        <x:v>0.7853403141</x:v>
      </x:c>
      <x:c r="V105" s="6" t="n">
        <x:f>IF(U105&gt;=Scope!$B$9,1,0)</x:f>
        <x:v>1</x:v>
      </x:c>
      <x:c r="W105" s="8" t="n">
        <x:f>(F105-Q105)^2</x:f>
        <x:v>0.023031806203242355</x:v>
      </x:c>
      <x:c r="X105" s="8" t="n">
        <x:f>(F105-S105)^2</x:f>
        <x:v>0.006129605461830848</x:v>
      </x:c>
      <x:c r="Y105" s="8" t="n">
        <x:f>(F105-U105)^2</x:f>
        <x:v>0.04607878075068664</x:v>
      </x:c>
    </x:row>
    <x:row r="106" ht="28" customHeight="1">
      <x:c r="A106" s="4" t="str">
        <x:v>UCSD-PTGBM-0074_01</x:v>
      </x:c>
      <x:c r="B106" s="4" t="str">
        <x:v>UCSD-PTGBM-0074</x:v>
      </x:c>
      <x:c r="C106" s="4" t="str">
        <x:v>BraTS-GLI-02329-100</x:v>
      </x:c>
      <x:c r="D106" s="4" t="str">
        <x:v>BraTS-GLI-02329</x:v>
      </x:c>
      <x:c r="E106" s="4" t="str">
        <x:v>dualid:UCSD-PTGBM-0074</x:v>
      </x:c>
      <x:c r="F106" s="6" t="n">
        <x:v>1</x:v>
      </x:c>
      <x:c r="G106" s="4" t="str">
        <x:v>derived_from_published_243_equals_192_plus_51_partition</x:v>
      </x:c>
      <x:c r="H106" s="6" t="n">
        <x:v>36</x:v>
      </x:c>
      <x:c r="I106" s="6" t="n">
        <x:v>1</x:v>
      </x:c>
      <x:c r="J106" s="6" t="n">
        <x:v>0</x:v>
      </x:c>
      <x:c r="K106" s="4" t="str">
        <x:v>-60</x:v>
      </x:c>
      <x:c r="L106" s="6" t="n">
        <x:v>60</x:v>
      </x:c>
      <x:c r="M106" s="6" t="n">
        <x:v>4.1108738642</x:v>
      </x:c>
      <x:c r="N106" s="6" t="n">
        <x:v>0</x:v>
      </x:c>
      <x:c r="O106" s="4" t="str">
        <x:v>Glioblastoma</x:v>
      </x:c>
      <x:c r="P106" s="6" t="n">
        <x:v>4</x:v>
      </x:c>
      <x:c r="Q106" s="8" t="n">
        <x:v>0.7019588616</x:v>
      </x:c>
      <x:c r="R106" s="6" t="n">
        <x:f>IF(Q106&gt;=Scope!$B$9,1,0)</x:f>
        <x:v>1</x:v>
      </x:c>
      <x:c r="S106" s="8" t="n">
        <x:v>0.8055186233</x:v>
      </x:c>
      <x:c r="T106" s="6" t="n">
        <x:f>IF(S106&gt;=Scope!$B$9,1,0)</x:f>
        <x:v>1</x:v>
      </x:c>
      <x:c r="U106" s="8" t="n">
        <x:v>0.7853403141</x:v>
      </x:c>
      <x:c r="V106" s="6" t="n">
        <x:f>IF(U106&gt;=Scope!$B$9,1,0)</x:f>
        <x:v>1</x:v>
      </x:c>
      <x:c r="W106" s="8" t="n">
        <x:f>(F106-Q106)^2</x:f>
        <x:v>0.08882852017876797</x:v>
      </x:c>
      <x:c r="X106" s="8" t="n">
        <x:f>(F106-S106)^2</x:f>
        <x:v>0.0378230058831273</x:v>
      </x:c>
      <x:c r="Y106" s="8" t="n">
        <x:f>(F106-U106)^2</x:f>
        <x:v>0.04607878075068664</x:v>
      </x:c>
    </x:row>
    <x:row r="107" ht="28" customHeight="1">
      <x:c r="A107" s="4" t="str">
        <x:v>UCSD-PTGBM-0075_01</x:v>
      </x:c>
      <x:c r="B107" s="4" t="str">
        <x:v>UCSD-PTGBM-0075</x:v>
      </x:c>
      <x:c r="C107" s="4" t="str">
        <x:v>BraTS-GLI-02330-100</x:v>
      </x:c>
      <x:c r="D107" s="4" t="str">
        <x:v>BraTS-GLI-02330</x:v>
      </x:c>
      <x:c r="E107" s="4" t="str">
        <x:v>dualid:UCSD-PTGBM-0075</x:v>
      </x:c>
      <x:c r="F107" s="6" t="n">
        <x:v>1</x:v>
      </x:c>
      <x:c r="G107" s="4" t="str">
        <x:v>derived_from_published_243_equals_192_plus_51_partition</x:v>
      </x:c>
      <x:c r="H107" s="6" t="n">
        <x:v>39</x:v>
      </x:c>
      <x:c r="I107" s="6" t="n">
        <x:v>1</x:v>
      </x:c>
      <x:c r="J107" s="6" t="n">
        <x:v>0</x:v>
      </x:c>
      <x:c r="K107" s="4" t="str">
        <x:v>0</x:v>
      </x:c>
      <x:c r="L107" s="6"/>
      <x:c r="M107" s="6"/>
      <x:c r="N107" s="6" t="n">
        <x:v>1</x:v>
      </x:c>
      <x:c r="O107" s="4" t="str">
        <x:v>Glioblastoma</x:v>
      </x:c>
      <x:c r="P107" s="6" t="n">
        <x:v>3</x:v>
      </x:c>
      <x:c r="Q107" s="8" t="n">
        <x:v>0.728931354</x:v>
      </x:c>
      <x:c r="R107" s="6" t="n">
        <x:f>IF(Q107&gt;=Scope!$B$9,1,0)</x:f>
        <x:v>1</x:v>
      </x:c>
      <x:c r="S107" s="8" t="n">
        <x:v>0.8889107905</x:v>
      </x:c>
      <x:c r="T107" s="6" t="n">
        <x:f>IF(S107&gt;=Scope!$B$9,1,0)</x:f>
        <x:v>1</x:v>
      </x:c>
      <x:c r="U107" s="8" t="n">
        <x:v>0.7853403141</x:v>
      </x:c>
      <x:c r="V107" s="6" t="n">
        <x:f>IF(U107&gt;=Scope!$B$9,1,0)</x:f>
        <x:v>1</x:v>
      </x:c>
      <x:c r="W107" s="8" t="n">
        <x:f>(F107-Q107)^2</x:f>
        <x:v>0.07347821084427333</x:v>
      </x:c>
      <x:c r="X107" s="8" t="n">
        <x:f>(F107-S107)^2</x:f>
        <x:v>0.012340812467334893</x:v>
      </x:c>
      <x:c r="Y107" s="8" t="n">
        <x:f>(F107-U107)^2</x:f>
        <x:v>0.04607878075068664</x:v>
      </x:c>
    </x:row>
    <x:row r="108" ht="28" customHeight="1">
      <x:c r="A108" s="4" t="str">
        <x:v>UCSD-PTGBM-0076_01</x:v>
      </x:c>
      <x:c r="B108" s="4" t="str">
        <x:v>UCSD-PTGBM-0076</x:v>
      </x:c>
      <x:c r="C108" s="4" t="str">
        <x:v>BraTS-GLI-02331-100</x:v>
      </x:c>
      <x:c r="D108" s="4" t="str">
        <x:v>BraTS-GLI-02331</x:v>
      </x:c>
      <x:c r="E108" s="4" t="str">
        <x:v>dualid:UCSD-PTGBM-0076</x:v>
      </x:c>
      <x:c r="F108" s="6" t="n">
        <x:v>1</x:v>
      </x:c>
      <x:c r="G108" s="4" t="str">
        <x:v>derived_from_published_243_equals_192_plus_51_partition</x:v>
      </x:c>
      <x:c r="H108" s="6" t="n">
        <x:v>29</x:v>
      </x:c>
      <x:c r="I108" s="6" t="n">
        <x:v>0</x:v>
      </x:c>
      <x:c r="J108" s="6" t="n">
        <x:v>0</x:v>
      </x:c>
      <x:c r="K108" s="4" t="str">
        <x:v>-78</x:v>
      </x:c>
      <x:c r="L108" s="6" t="n">
        <x:v>78</x:v>
      </x:c>
      <x:c r="M108" s="6" t="n">
        <x:v>4.3694478525</x:v>
      </x:c>
      <x:c r="N108" s="6" t="n">
        <x:v>0</x:v>
      </x:c>
      <x:c r="O108" s="4" t="str">
        <x:v>Glioblastoma</x:v>
      </x:c>
      <x:c r="P108" s="6" t="n">
        <x:v>5</x:v>
      </x:c>
      <x:c r="Q108" s="8" t="n">
        <x:v>0.5560318547</x:v>
      </x:c>
      <x:c r="R108" s="6" t="n">
        <x:f>IF(Q108&gt;=Scope!$B$9,1,0)</x:f>
        <x:v>1</x:v>
      </x:c>
      <x:c r="S108" s="8" t="n">
        <x:v>0.6909577548</x:v>
      </x:c>
      <x:c r="T108" s="6" t="n">
        <x:f>IF(S108&gt;=Scope!$B$9,1,0)</x:f>
        <x:v>1</x:v>
      </x:c>
      <x:c r="U108" s="8" t="n">
        <x:v>0.7853403141</x:v>
      </x:c>
      <x:c r="V108" s="6" t="n">
        <x:f>IF(U108&gt;=Scope!$B$9,1,0)</x:f>
        <x:v>1</x:v>
      </x:c>
      <x:c r="W108" s="8" t="n">
        <x:f>(F108-Q108)^2</x:f>
        <x:v>0.19710771404112187</x:v>
      </x:c>
      <x:c r="X108" s="8" t="n">
        <x:f>(F108-S108)^2</x:f>
        <x:v>0.09550710931825693</x:v>
      </x:c>
      <x:c r="Y108" s="8" t="n">
        <x:f>(F108-U108)^2</x:f>
        <x:v>0.04607878075068664</x:v>
      </x:c>
    </x:row>
    <x:row r="109" ht="28" customHeight="1">
      <x:c r="A109" s="4" t="str">
        <x:v>UCSD-PTGBM-0077_01</x:v>
      </x:c>
      <x:c r="B109" s="4" t="str">
        <x:v>UCSD-PTGBM-0077</x:v>
      </x:c>
      <x:c r="C109" s="4" t="str">
        <x:v>BraTS-GLI-02332-100</x:v>
      </x:c>
      <x:c r="D109" s="4" t="str">
        <x:v>BraTS-GLI-02332</x:v>
      </x:c>
      <x:c r="E109" s="4" t="str">
        <x:v>dualid:UCSD-PTGBM-0077</x:v>
      </x:c>
      <x:c r="F109" s="6" t="n">
        <x:v>1</x:v>
      </x:c>
      <x:c r="G109" s="4" t="str">
        <x:v>derived_from_published_243_equals_192_plus_51_partition</x:v>
      </x:c>
      <x:c r="H109" s="6" t="n">
        <x:v>47</x:v>
      </x:c>
      <x:c r="I109" s="6" t="n">
        <x:v>1</x:v>
      </x:c>
      <x:c r="J109" s="6" t="n">
        <x:v>1</x:v>
      </x:c>
      <x:c r="K109" s="4" t="str">
        <x:v>-59</x:v>
      </x:c>
      <x:c r="L109" s="6" t="n">
        <x:v>59</x:v>
      </x:c>
      <x:c r="M109" s="6" t="n">
        <x:v>4.0943445622</x:v>
      </x:c>
      <x:c r="N109" s="6" t="n">
        <x:v>0</x:v>
      </x:c>
      <x:c r="O109" s="4" t="str">
        <x:v>Glioblastoma</x:v>
      </x:c>
      <x:c r="P109" s="6" t="n">
        <x:v>1</x:v>
      </x:c>
      <x:c r="Q109" s="8" t="n">
        <x:v>0.7843499149</x:v>
      </x:c>
      <x:c r="R109" s="6" t="n">
        <x:f>IF(Q109&gt;=Scope!$B$9,1,0)</x:f>
        <x:v>1</x:v>
      </x:c>
      <x:c r="S109" s="8" t="n">
        <x:v>0.8901961263</x:v>
      </x:c>
      <x:c r="T109" s="6" t="n">
        <x:f>IF(S109&gt;=Scope!$B$9,1,0)</x:f>
        <x:v>1</x:v>
      </x:c>
      <x:c r="U109" s="8" t="n">
        <x:v>0.7842105263</x:v>
      </x:c>
      <x:c r="V109" s="6" t="n">
        <x:f>IF(U109&gt;=Scope!$B$9,1,0)</x:f>
        <x:v>1</x:v>
      </x:c>
      <x:c r="W109" s="8" t="n">
        <x:f>(F109-Q109)^2</x:f>
        <x:v>0.046504959203637265</x:v>
      </x:c>
      <x:c r="X109" s="8" t="n">
        <x:f>(F109-S109)^2</x:f>
        <x:v>0.012056890679525551</x:v>
      </x:c>
      <x:c r="Y109" s="8" t="n">
        <x:f>(F109-U109)^2</x:f>
        <x:v>0.046565096959722996</x:v>
      </x:c>
    </x:row>
    <x:row r="110" ht="28" customHeight="1">
      <x:c r="A110" s="4" t="str">
        <x:v>UCSD-PTGBM-0078_01</x:v>
      </x:c>
      <x:c r="B110" s="4" t="str">
        <x:v>UCSD-PTGBM-0078</x:v>
      </x:c>
      <x:c r="C110" s="4" t="str">
        <x:v>BraTS-GLI-02333-100</x:v>
      </x:c>
      <x:c r="D110" s="4" t="str">
        <x:v>BraTS-GLI-02333</x:v>
      </x:c>
      <x:c r="E110" s="4" t="str">
        <x:v>dualid:UCSD-PTGBM-0078</x:v>
      </x:c>
      <x:c r="F110" s="6" t="n">
        <x:v>1</x:v>
      </x:c>
      <x:c r="G110" s="4" t="str">
        <x:v>derived_from_published_243_equals_192_plus_51_partition</x:v>
      </x:c>
      <x:c r="H110" s="6" t="n">
        <x:v>64</x:v>
      </x:c>
      <x:c r="I110" s="6" t="n">
        <x:v>0</x:v>
      </x:c>
      <x:c r="J110" s="6" t="n">
        <x:v>1</x:v>
      </x:c>
      <x:c r="K110" s="4" t="str">
        <x:v>-82</x:v>
      </x:c>
      <x:c r="L110" s="6" t="n">
        <x:v>82</x:v>
      </x:c>
      <x:c r="M110" s="6" t="n">
        <x:v>4.4188406078</x:v>
      </x:c>
      <x:c r="N110" s="6" t="n">
        <x:v>0</x:v>
      </x:c>
      <x:c r="O110" s="4" t="str">
        <x:v>Glioblastoma</x:v>
      </x:c>
      <x:c r="P110" s="6" t="n">
        <x:v>2</x:v>
      </x:c>
      <x:c r="Q110" s="8" t="n">
        <x:v>0.7928877378</x:v>
      </x:c>
      <x:c r="R110" s="6" t="n">
        <x:f>IF(Q110&gt;=Scope!$B$9,1,0)</x:f>
        <x:v>1</x:v>
      </x:c>
      <x:c r="S110" s="8" t="n">
        <x:v>0.8779257288</x:v>
      </x:c>
      <x:c r="T110" s="6" t="n">
        <x:f>IF(S110&gt;=Scope!$B$9,1,0)</x:f>
        <x:v>1</x:v>
      </x:c>
      <x:c r="U110" s="8" t="n">
        <x:v>0.7883597884</x:v>
      </x:c>
      <x:c r="V110" s="6" t="n">
        <x:f>IF(U110&gt;=Scope!$B$9,1,0)</x:f>
        <x:v>1</x:v>
      </x:c>
      <x:c r="W110" s="8" t="n">
        <x:f>(F110-Q110)^2</x:f>
        <x:v>0.04289548915360155</x:v>
      </x:c>
      <x:c r="X110" s="8" t="n">
        <x:f>(F110-S110)^2</x:f>
        <x:v>0.014902127689011157</x:v>
      </x:c>
      <x:c r="Y110" s="8" t="n">
        <x:f>(F110-U110)^2</x:f>
        <x:v>0.04479157916609278</x:v>
      </x:c>
    </x:row>
    <x:row r="111" ht="28" customHeight="1">
      <x:c r="A111" s="4" t="str">
        <x:v>UCSD-PTGBM-0079_01</x:v>
      </x:c>
      <x:c r="B111" s="4" t="str">
        <x:v>UCSD-PTGBM-0079</x:v>
      </x:c>
      <x:c r="C111" s="4" t="str">
        <x:v>BraTS-GLI-02334-100</x:v>
      </x:c>
      <x:c r="D111" s="4" t="str">
        <x:v>BraTS-GLI-02334</x:v>
      </x:c>
      <x:c r="E111" s="4" t="str">
        <x:v>dualid:UCSD-PTGBM-0079</x:v>
      </x:c>
      <x:c r="F111" s="6" t="n">
        <x:v>1</x:v>
      </x:c>
      <x:c r="G111" s="4" t="str">
        <x:v>derived_from_published_243_equals_192_plus_51_partition</x:v>
      </x:c>
      <x:c r="H111" s="6" t="n">
        <x:v>54</x:v>
      </x:c>
      <x:c r="I111" s="6" t="n">
        <x:v>1</x:v>
      </x:c>
      <x:c r="J111" s="6" t="n">
        <x:v>0</x:v>
      </x:c>
      <x:c r="K111" s="4" t="str">
        <x:v>-36</x:v>
      </x:c>
      <x:c r="L111" s="6" t="n">
        <x:v>36</x:v>
      </x:c>
      <x:c r="M111" s="6" t="n">
        <x:v>3.6109179126</x:v>
      </x:c>
      <x:c r="N111" s="6" t="n">
        <x:v>0</x:v>
      </x:c>
      <x:c r="O111" s="4" t="str">
        <x:v>Glioblastoma</x:v>
      </x:c>
      <x:c r="P111" s="6" t="n">
        <x:v>1</x:v>
      </x:c>
      <x:c r="Q111" s="8" t="n">
        <x:v>0.8136366373</x:v>
      </x:c>
      <x:c r="R111" s="6" t="n">
        <x:f>IF(Q111&gt;=Scope!$B$9,1,0)</x:f>
        <x:v>1</x:v>
      </x:c>
      <x:c r="S111" s="8" t="n">
        <x:v>0.8536571484</x:v>
      </x:c>
      <x:c r="T111" s="6" t="n">
        <x:f>IF(S111&gt;=Scope!$B$9,1,0)</x:f>
        <x:v>1</x:v>
      </x:c>
      <x:c r="U111" s="8" t="n">
        <x:v>0.7842105263</x:v>
      </x:c>
      <x:c r="V111" s="6" t="n">
        <x:f>IF(U111&gt;=Scope!$B$9,1,0)</x:f>
        <x:v>1</x:v>
      </x:c>
      <x:c r="W111" s="8" t="n">
        <x:f>(F111-Q111)^2</x:f>
        <x:v>0.03473130295685174</x:v>
      </x:c>
      <x:c r="X111" s="8" t="n">
        <x:f>(F111-S111)^2</x:f>
        <x:v>0.021416230214419636</x:v>
      </x:c>
      <x:c r="Y111" s="8" t="n">
        <x:f>(F111-U111)^2</x:f>
        <x:v>0.046565096959722996</x:v>
      </x:c>
    </x:row>
    <x:row r="112" ht="28" customHeight="1">
      <x:c r="A112" s="4" t="str">
        <x:v>UCSD-PTGBM-0080_01</x:v>
      </x:c>
      <x:c r="B112" s="4" t="str">
        <x:v>UCSD-PTGBM-0080</x:v>
      </x:c>
      <x:c r="C112" s="4" t="str">
        <x:v>BraTS-GLI-02335-100</x:v>
      </x:c>
      <x:c r="D112" s="4" t="str">
        <x:v>BraTS-GLI-02335</x:v>
      </x:c>
      <x:c r="E112" s="4" t="str">
        <x:v>dualid:UCSD-PTGBM-0080</x:v>
      </x:c>
      <x:c r="F112" s="6" t="n">
        <x:v>1</x:v>
      </x:c>
      <x:c r="G112" s="4" t="str">
        <x:v>derived_from_published_243_equals_192_plus_51_partition</x:v>
      </x:c>
      <x:c r="H112" s="6" t="n">
        <x:v>68</x:v>
      </x:c>
      <x:c r="I112" s="6" t="n">
        <x:v>1</x:v>
      </x:c>
      <x:c r="J112" s="6" t="n">
        <x:v>0</x:v>
      </x:c>
      <x:c r="K112" s="4" t="str">
        <x:v>-20</x:v>
      </x:c>
      <x:c r="L112" s="6" t="n">
        <x:v>20</x:v>
      </x:c>
      <x:c r="M112" s="6" t="n">
        <x:v>3.0445224377</x:v>
      </x:c>
      <x:c r="N112" s="6" t="n">
        <x:v>0</x:v>
      </x:c>
      <x:c r="O112" s="4" t="str">
        <x:v>Glioblastoma</x:v>
      </x:c>
      <x:c r="P112" s="6" t="n">
        <x:v>5</x:v>
      </x:c>
      <x:c r="Q112" s="8" t="n">
        <x:v>0.8674615462</x:v>
      </x:c>
      <x:c r="R112" s="6" t="n">
        <x:f>IF(Q112&gt;=Scope!$B$9,1,0)</x:f>
        <x:v>1</x:v>
      </x:c>
      <x:c r="S112" s="8" t="n">
        <x:v>0.9170836189</x:v>
      </x:c>
      <x:c r="T112" s="6" t="n">
        <x:f>IF(S112&gt;=Scope!$B$9,1,0)</x:f>
        <x:v>1</x:v>
      </x:c>
      <x:c r="U112" s="8" t="n">
        <x:v>0.7853403141</x:v>
      </x:c>
      <x:c r="V112" s="6" t="n">
        <x:f>IF(U112&gt;=Scope!$B$9,1,0)</x:f>
        <x:v>1</x:v>
      </x:c>
      <x:c r="W112" s="8" t="n">
        <x:f>(F112-Q112)^2</x:f>
        <x:v>0.017566441735694723</x:v>
      </x:c>
      <x:c r="X112" s="8" t="n">
        <x:f>(F112-S112)^2</x:f>
        <x:v>0.006875126254720436</x:v>
      </x:c>
      <x:c r="Y112" s="8" t="n">
        <x:f>(F112-U112)^2</x:f>
        <x:v>0.04607878075068664</x:v>
      </x:c>
    </x:row>
    <x:row r="113" ht="28" customHeight="1">
      <x:c r="A113" s="4" t="str">
        <x:v>UCSD-PTGBM-0081_01</x:v>
      </x:c>
      <x:c r="B113" s="4" t="str">
        <x:v>UCSD-PTGBM-0081</x:v>
      </x:c>
      <x:c r="C113" s="4" t="str">
        <x:v>BraTS-GLI-02336-100</x:v>
      </x:c>
      <x:c r="D113" s="4" t="str">
        <x:v>BraTS-GLI-02336</x:v>
      </x:c>
      <x:c r="E113" s="4" t="str">
        <x:v>dualid:UCSD-PTGBM-0081</x:v>
      </x:c>
      <x:c r="F113" s="6" t="n">
        <x:v>0</x:v>
      </x:c>
      <x:c r="G113" s="4" t="str">
        <x:v>explicit_negative_case_list</x:v>
      </x:c>
      <x:c r="H113" s="6" t="n">
        <x:v>66</x:v>
      </x:c>
      <x:c r="I113" s="6" t="n">
        <x:v>1</x:v>
      </x:c>
      <x:c r="J113" s="6" t="n">
        <x:v>0</x:v>
      </x:c>
      <x:c r="K113" s="4" t="str">
        <x:v>-21</x:v>
      </x:c>
      <x:c r="L113" s="6" t="n">
        <x:v>21</x:v>
      </x:c>
      <x:c r="M113" s="6" t="n">
        <x:v>3.0910424534</x:v>
      </x:c>
      <x:c r="N113" s="6" t="n">
        <x:v>0</x:v>
      </x:c>
      <x:c r="O113" s="4" t="str">
        <x:v>Glioblastoma</x:v>
      </x:c>
      <x:c r="P113" s="6" t="n">
        <x:v>4</x:v>
      </x:c>
      <x:c r="Q113" s="8" t="n">
        <x:v>0.865451134</x:v>
      </x:c>
      <x:c r="R113" s="6" t="n">
        <x:f>IF(Q113&gt;=Scope!$B$9,1,0)</x:f>
        <x:v>1</x:v>
      </x:c>
      <x:c r="S113" s="8" t="n">
        <x:v>0.9350001337</x:v>
      </x:c>
      <x:c r="T113" s="6" t="n">
        <x:f>IF(S113&gt;=Scope!$B$9,1,0)</x:f>
        <x:v>1</x:v>
      </x:c>
      <x:c r="U113" s="8" t="n">
        <x:v>0.7853403141</x:v>
      </x:c>
      <x:c r="V113" s="6" t="n">
        <x:f>IF(U113&gt;=Scope!$B$9,1,0)</x:f>
        <x:v>1</x:v>
      </x:c>
      <x:c r="W113" s="8" t="n">
        <x:f>(F113-Q113)^2</x:f>
        <x:v>0.7490056653418858</x:v>
      </x:c>
      <x:c r="X113" s="8" t="n">
        <x:f>(F113-S113)^2</x:f>
        <x:v>0.8742252500190179</x:v>
      </x:c>
      <x:c r="Y113" s="8" t="n">
        <x:f>(F113-U113)^2</x:f>
        <x:v>0.6167594089506867</x:v>
      </x:c>
    </x:row>
    <x:row r="114" ht="28" customHeight="1">
      <x:c r="A114" s="4" t="str">
        <x:v>UCSD-PTGBM-0082_01</x:v>
      </x:c>
      <x:c r="B114" s="4" t="str">
        <x:v>UCSD-PTGBM-0082</x:v>
      </x:c>
      <x:c r="C114" s="4" t="str">
        <x:v>BraTS-GLI-02337-100</x:v>
      </x:c>
      <x:c r="D114" s="4" t="str">
        <x:v>BraTS-GLI-02337</x:v>
      </x:c>
      <x:c r="E114" s="4" t="str">
        <x:v>dualid:UCSD-PTGBM-0082</x:v>
      </x:c>
      <x:c r="F114" s="6" t="n">
        <x:v>1</x:v>
      </x:c>
      <x:c r="G114" s="4" t="str">
        <x:v>derived_from_published_243_equals_192_plus_51_partition</x:v>
      </x:c>
      <x:c r="H114" s="6" t="n">
        <x:v>43</x:v>
      </x:c>
      <x:c r="I114" s="6" t="n">
        <x:v>1</x:v>
      </x:c>
      <x:c r="J114" s="6" t="n">
        <x:v>0</x:v>
      </x:c>
      <x:c r="K114" s="4" t="str">
        <x:v>-33</x:v>
      </x:c>
      <x:c r="L114" s="6" t="n">
        <x:v>33</x:v>
      </x:c>
      <x:c r="M114" s="6" t="n">
        <x:v>3.5263605246</x:v>
      </x:c>
      <x:c r="N114" s="6" t="n">
        <x:v>0</x:v>
      </x:c>
      <x:c r="O114" s="4" t="str">
        <x:v>Glioblastoma</x:v>
      </x:c>
      <x:c r="P114" s="6" t="n">
        <x:v>2</x:v>
      </x:c>
      <x:c r="Q114" s="8" t="n">
        <x:v>0.7533614602</x:v>
      </x:c>
      <x:c r="R114" s="6" t="n">
        <x:f>IF(Q114&gt;=Scope!$B$9,1,0)</x:f>
        <x:v>1</x:v>
      </x:c>
      <x:c r="S114" s="8" t="n">
        <x:v>0.8168206625</x:v>
      </x:c>
      <x:c r="T114" s="6" t="n">
        <x:f>IF(S114&gt;=Scope!$B$9,1,0)</x:f>
        <x:v>1</x:v>
      </x:c>
      <x:c r="U114" s="8" t="n">
        <x:v>0.7883597884</x:v>
      </x:c>
      <x:c r="V114" s="6" t="n">
        <x:f>IF(U114&gt;=Scope!$B$9,1,0)</x:f>
        <x:v>1</x:v>
      </x:c>
      <x:c r="W114" s="8" t="n">
        <x:f>(F114-Q114)^2</x:f>
        <x:v>0.060830569314676154</x:v>
      </x:c>
      <x:c r="X114" s="8" t="n">
        <x:f>(F114-S114)^2</x:f>
        <x:v>0.03355466968693892</x:v>
      </x:c>
      <x:c r="Y114" s="8" t="n">
        <x:f>(F114-U114)^2</x:f>
        <x:v>0.04479157916609278</x:v>
      </x:c>
    </x:row>
    <x:row r="115" ht="28" customHeight="1">
      <x:c r="A115" s="4" t="str">
        <x:v>UCSD-PTGBM-0083_01</x:v>
      </x:c>
      <x:c r="B115" s="4" t="str">
        <x:v>UCSD-PTGBM-0083</x:v>
      </x:c>
      <x:c r="C115" s="4" t="str">
        <x:v>BraTS-GLI-02338-100</x:v>
      </x:c>
      <x:c r="D115" s="4" t="str">
        <x:v>BraTS-GLI-02338</x:v>
      </x:c>
      <x:c r="E115" s="4" t="str">
        <x:v>dualid:UCSD-PTGBM-0083</x:v>
      </x:c>
      <x:c r="F115" s="6" t="n">
        <x:v>1</x:v>
      </x:c>
      <x:c r="G115" s="4" t="str">
        <x:v>derived_from_published_243_equals_192_plus_51_partition</x:v>
      </x:c>
      <x:c r="H115" s="6" t="n">
        <x:v>59</x:v>
      </x:c>
      <x:c r="I115" s="6" t="n">
        <x:v>1</x:v>
      </x:c>
      <x:c r="J115" s="6" t="n">
        <x:v>0</x:v>
      </x:c>
      <x:c r="K115" s="4" t="str">
        <x:v>-59</x:v>
      </x:c>
      <x:c r="L115" s="6" t="n">
        <x:v>59</x:v>
      </x:c>
      <x:c r="M115" s="6" t="n">
        <x:v>4.0943445622</x:v>
      </x:c>
      <x:c r="N115" s="6" t="n">
        <x:v>0</x:v>
      </x:c>
      <x:c r="O115" s="4" t="str">
        <x:v>Glioblastoma</x:v>
      </x:c>
      <x:c r="P115" s="6" t="n">
        <x:v>1</x:v>
      </x:c>
      <x:c r="Q115" s="8" t="n">
        <x:v>0.8326124575</x:v>
      </x:c>
      <x:c r="R115" s="6" t="n">
        <x:f>IF(Q115&gt;=Scope!$B$9,1,0)</x:f>
        <x:v>1</x:v>
      </x:c>
      <x:c r="S115" s="8" t="n">
        <x:v>0.8374510198</x:v>
      </x:c>
      <x:c r="T115" s="6" t="n">
        <x:f>IF(S115&gt;=Scope!$B$9,1,0)</x:f>
        <x:v>1</x:v>
      </x:c>
      <x:c r="U115" s="8" t="n">
        <x:v>0.7842105263</x:v>
      </x:c>
      <x:c r="V115" s="6" t="n">
        <x:f>IF(U115&gt;=Scope!$B$9,1,0)</x:f>
        <x:v>1</x:v>
      </x:c>
      <x:c r="W115" s="8" t="n">
        <x:f>(F115-Q115)^2</x:f>
        <x:v>0.028018589384189302</x:v>
      </x:c>
      <x:c r="X115" s="8" t="n">
        <x:f>(F115-S115)^2</x:f>
        <x:v>0.026422170964059983</x:v>
      </x:c>
      <x:c r="Y115" s="8" t="n">
        <x:f>(F115-U115)^2</x:f>
        <x:v>0.046565096959722996</x:v>
      </x:c>
    </x:row>
    <x:row r="116" ht="28" customHeight="1">
      <x:c r="A116" s="4" t="str">
        <x:v>UCSD-PTGBM-0084_01</x:v>
      </x:c>
      <x:c r="B116" s="4" t="str">
        <x:v>UCSD-PTGBM-0084</x:v>
      </x:c>
      <x:c r="C116" s="4" t="str">
        <x:v>BraTS-GLI-02339-100</x:v>
      </x:c>
      <x:c r="D116" s="4" t="str">
        <x:v>BraTS-GLI-02339</x:v>
      </x:c>
      <x:c r="E116" s="4" t="str">
        <x:v>dualid:UCSD-PTGBM-0084</x:v>
      </x:c>
      <x:c r="F116" s="6" t="n">
        <x:v>1</x:v>
      </x:c>
      <x:c r="G116" s="4" t="str">
        <x:v>derived_from_published_243_equals_192_plus_51_partition</x:v>
      </x:c>
      <x:c r="H116" s="6" t="n">
        <x:v>62</x:v>
      </x:c>
      <x:c r="I116" s="6" t="n">
        <x:v>1</x:v>
      </x:c>
      <x:c r="J116" s="6" t="n">
        <x:v>0</x:v>
      </x:c>
      <x:c r="K116" s="4" t="str">
        <x:v>-37</x:v>
      </x:c>
      <x:c r="L116" s="6" t="n">
        <x:v>37</x:v>
      </x:c>
      <x:c r="M116" s="6" t="n">
        <x:v>3.6375861597</x:v>
      </x:c>
      <x:c r="N116" s="6" t="n">
        <x:v>0</x:v>
      </x:c>
      <x:c r="O116" s="4" t="str">
        <x:v>Glioblastoma</x:v>
      </x:c>
      <x:c r="P116" s="6" t="n">
        <x:v>3</x:v>
      </x:c>
      <x:c r="Q116" s="8" t="n">
        <x:v>0.8337518667</x:v>
      </x:c>
      <x:c r="R116" s="6" t="n">
        <x:f>IF(Q116&gt;=Scope!$B$9,1,0)</x:f>
        <x:v>1</x:v>
      </x:c>
      <x:c r="S116" s="8" t="n">
        <x:v>0.8718596903</x:v>
      </x:c>
      <x:c r="T116" s="6" t="n">
        <x:f>IF(S116&gt;=Scope!$B$9,1,0)</x:f>
        <x:v>1</x:v>
      </x:c>
      <x:c r="U116" s="8" t="n">
        <x:v>0.7853403141</x:v>
      </x:c>
      <x:c r="V116" s="6" t="n">
        <x:f>IF(U116&gt;=Scope!$B$9,1,0)</x:f>
        <x:v>1</x:v>
      </x:c>
      <x:c r="W116" s="8" t="n">
        <x:f>(F116-Q116)^2</x:f>
        <x:v>0.027638441825734564</x:v>
      </x:c>
      <x:c r="X116" s="8" t="n">
        <x:f>(F116-S116)^2</x:f>
        <x:v>0.016419938970011917</x:v>
      </x:c>
      <x:c r="Y116" s="8" t="n">
        <x:f>(F116-U116)^2</x:f>
        <x:v>0.04607878075068664</x:v>
      </x:c>
    </x:row>
    <x:row r="117" ht="28" customHeight="1">
      <x:c r="A117" s="4" t="str">
        <x:v>UCSD-PTGBM-0085_01</x:v>
      </x:c>
      <x:c r="B117" s="4" t="str">
        <x:v>UCSD-PTGBM-0085</x:v>
      </x:c>
      <x:c r="C117" s="4" t="str">
        <x:v>BraTS-GLI-02340-100</x:v>
      </x:c>
      <x:c r="D117" s="4" t="str">
        <x:v>BraTS-GLI-02340</x:v>
      </x:c>
      <x:c r="E117" s="4" t="str">
        <x:v>dualid:UCSD-PTGBM-0085</x:v>
      </x:c>
      <x:c r="F117" s="6" t="n">
        <x:v>0</x:v>
      </x:c>
      <x:c r="G117" s="4" t="str">
        <x:v>explicit_negative_case_list</x:v>
      </x:c>
      <x:c r="H117" s="6" t="n">
        <x:v>49</x:v>
      </x:c>
      <x:c r="I117" s="6" t="n">
        <x:v>1</x:v>
      </x:c>
      <x:c r="J117" s="6" t="n">
        <x:v>1</x:v>
      </x:c>
      <x:c r="K117" s="4" t="str">
        <x:v>-42</x:v>
      </x:c>
      <x:c r="L117" s="6" t="n">
        <x:v>42</x:v>
      </x:c>
      <x:c r="M117" s="6" t="n">
        <x:v>3.7612001157</x:v>
      </x:c>
      <x:c r="N117" s="6" t="n">
        <x:v>0</x:v>
      </x:c>
      <x:c r="O117" s="4" t="str">
        <x:v>Glioblastoma</x:v>
      </x:c>
      <x:c r="P117" s="6" t="n">
        <x:v>5</x:v>
      </x:c>
      <x:c r="Q117" s="8" t="n">
        <x:v>0.7802501648</x:v>
      </x:c>
      <x:c r="R117" s="6" t="n">
        <x:f>IF(Q117&gt;=Scope!$B$9,1,0)</x:f>
        <x:v>1</x:v>
      </x:c>
      <x:c r="S117" s="8" t="n">
        <x:v>0.9233137884</x:v>
      </x:c>
      <x:c r="T117" s="6" t="n">
        <x:f>IF(S117&gt;=Scope!$B$9,1,0)</x:f>
        <x:v>1</x:v>
      </x:c>
      <x:c r="U117" s="8" t="n">
        <x:v>0.7853403141</x:v>
      </x:c>
      <x:c r="V117" s="6" t="n">
        <x:f>IF(U117&gt;=Scope!$B$9,1,0)</x:f>
        <x:v>1</x:v>
      </x:c>
      <x:c r="W117" s="8" t="n">
        <x:f>(F117-Q117)^2</x:f>
        <x:v>0.6087903196704271</x:v>
      </x:c>
      <x:c r="X117" s="8" t="n">
        <x:f>(F117-S117)^2</x:f>
        <x:v>0.85250835184956</x:v>
      </x:c>
      <x:c r="Y117" s="8" t="n">
        <x:f>(F117-U117)^2</x:f>
        <x:v>0.6167594089506867</x:v>
      </x:c>
    </x:row>
    <x:row r="118" ht="28" customHeight="1">
      <x:c r="A118" s="4" t="str">
        <x:v>UCSD-PTGBM-0086_01</x:v>
      </x:c>
      <x:c r="B118" s="4" t="str">
        <x:v>UCSD-PTGBM-0086</x:v>
      </x:c>
      <x:c r="C118" s="4" t="str">
        <x:v>BraTS-GLI-02341-100</x:v>
      </x:c>
      <x:c r="D118" s="4" t="str">
        <x:v>BraTS-GLI-02341</x:v>
      </x:c>
      <x:c r="E118" s="4" t="str">
        <x:v>dualid:UCSD-PTGBM-0086</x:v>
      </x:c>
      <x:c r="F118" s="6" t="n">
        <x:v>1</x:v>
      </x:c>
      <x:c r="G118" s="4" t="str">
        <x:v>derived_from_published_243_equals_192_plus_51_partition</x:v>
      </x:c>
      <x:c r="H118" s="6" t="n">
        <x:v>27</x:v>
      </x:c>
      <x:c r="I118" s="6" t="n">
        <x:v>1</x:v>
      </x:c>
      <x:c r="J118" s="6" t="n">
        <x:v>0</x:v>
      </x:c>
      <x:c r="K118" s="4" t="str">
        <x:v>Unknown</x:v>
      </x:c>
      <x:c r="L118" s="6"/>
      <x:c r="M118" s="6"/>
      <x:c r="N118" s="6" t="n">
        <x:v>1</x:v>
      </x:c>
      <x:c r="O118" s="4" t="str">
        <x:v>Glioblastoma</x:v>
      </x:c>
      <x:c r="P118" s="6" t="n">
        <x:v>3</x:v>
      </x:c>
      <x:c r="Q118" s="8" t="n">
        <x:v>0.6601662485</x:v>
      </x:c>
      <x:c r="R118" s="6" t="n">
        <x:f>IF(Q118&gt;=Scope!$B$9,1,0)</x:f>
        <x:v>1</x:v>
      </x:c>
      <x:c r="S118" s="8" t="n">
        <x:v>0.8708002877</x:v>
      </x:c>
      <x:c r="T118" s="6" t="n">
        <x:f>IF(S118&gt;=Scope!$B$9,1,0)</x:f>
        <x:v>1</x:v>
      </x:c>
      <x:c r="U118" s="8" t="n">
        <x:v>0.7853403141</x:v>
      </x:c>
      <x:c r="V118" s="6" t="n">
        <x:f>IF(U118&gt;=Scope!$B$9,1,0)</x:f>
        <x:v>1</x:v>
      </x:c>
      <x:c r="W118" s="8" t="n">
        <x:f>(F118-Q118)^2</x:f>
        <x:v>0.11548697865856372</x:v>
      </x:c>
      <x:c r="X118" s="8" t="n">
        <x:f>(F118-S118)^2</x:f>
        <x:v>0.016692565658402783</x:v>
      </x:c>
      <x:c r="Y118" s="8" t="n">
        <x:f>(F118-U118)^2</x:f>
        <x:v>0.04607878075068664</x:v>
      </x:c>
    </x:row>
    <x:row r="119" ht="28" customHeight="1">
      <x:c r="A119" s="4" t="str">
        <x:v>UCSD-PTGBM-0087_01</x:v>
      </x:c>
      <x:c r="B119" s="4" t="str">
        <x:v>UCSD-PTGBM-0087</x:v>
      </x:c>
      <x:c r="C119" s="4" t="str">
        <x:v>BraTS-GLI-02342-100</x:v>
      </x:c>
      <x:c r="D119" s="4" t="str">
        <x:v>BraTS-GLI-02342</x:v>
      </x:c>
      <x:c r="E119" s="4" t="str">
        <x:v>dualid:UCSD-PTGBM-0087</x:v>
      </x:c>
      <x:c r="F119" s="6" t="n">
        <x:v>1</x:v>
      </x:c>
      <x:c r="G119" s="4" t="str">
        <x:v>derived_from_published_243_equals_192_plus_51_partition</x:v>
      </x:c>
      <x:c r="H119" s="6" t="n">
        <x:v>62</x:v>
      </x:c>
      <x:c r="I119" s="6" t="n">
        <x:v>1</x:v>
      </x:c>
      <x:c r="J119" s="6" t="n">
        <x:v>0</x:v>
      </x:c>
      <x:c r="K119" s="4" t="str">
        <x:v>-43</x:v>
      </x:c>
      <x:c r="L119" s="6" t="n">
        <x:v>43</x:v>
      </x:c>
      <x:c r="M119" s="6" t="n">
        <x:v>3.7841896339</x:v>
      </x:c>
      <x:c r="N119" s="6" t="n">
        <x:v>0</x:v>
      </x:c>
      <x:c r="O119" s="4" t="str">
        <x:v>Glioblastoma</x:v>
      </x:c>
      <x:c r="P119" s="6" t="n">
        <x:v>1</x:v>
      </x:c>
      <x:c r="Q119" s="8" t="n">
        <x:v>0.8432380868</x:v>
      </x:c>
      <x:c r="R119" s="6" t="n">
        <x:f>IF(Q119&gt;=Scope!$B$9,1,0)</x:f>
        <x:v>1</x:v>
      </x:c>
      <x:c r="S119" s="8" t="n">
        <x:v>0.8584311649</x:v>
      </x:c>
      <x:c r="T119" s="6" t="n">
        <x:f>IF(S119&gt;=Scope!$B$9,1,0)</x:f>
        <x:v>1</x:v>
      </x:c>
      <x:c r="U119" s="8" t="n">
        <x:v>0.7842105263</x:v>
      </x:c>
      <x:c r="V119" s="6" t="n">
        <x:f>IF(U119&gt;=Scope!$B$9,1,0)</x:f>
        <x:v>1</x:v>
      </x:c>
      <x:c r="W119" s="8" t="n">
        <x:f>(F119-Q119)^2</x:f>
        <x:v>0.02457429743012433</x:v>
      </x:c>
      <x:c r="X119" s="8" t="n">
        <x:f>(F119-S119)^2</x:f>
        <x:v>0.02004173507157098</x:v>
      </x:c>
      <x:c r="Y119" s="8" t="n">
        <x:f>(F119-U119)^2</x:f>
        <x:v>0.046565096959722996</x:v>
      </x:c>
    </x:row>
    <x:row r="120" ht="28" customHeight="1">
      <x:c r="A120" s="4" t="str">
        <x:v>UCSD-PTGBM-0088_01</x:v>
      </x:c>
      <x:c r="B120" s="4" t="str">
        <x:v>UCSD-PTGBM-0088</x:v>
      </x:c>
      <x:c r="C120" s="4" t="str">
        <x:v>BraTS-GLI-02343-100</x:v>
      </x:c>
      <x:c r="D120" s="4" t="str">
        <x:v>BraTS-GLI-02343</x:v>
      </x:c>
      <x:c r="E120" s="4" t="str">
        <x:v>dualid:UCSD-PTGBM-0088</x:v>
      </x:c>
      <x:c r="F120" s="6" t="n">
        <x:v>1</x:v>
      </x:c>
      <x:c r="G120" s="4" t="str">
        <x:v>derived_from_published_243_equals_192_plus_51_partition</x:v>
      </x:c>
      <x:c r="H120" s="6" t="n">
        <x:v>81</x:v>
      </x:c>
      <x:c r="I120" s="6" t="n">
        <x:v>1</x:v>
      </x:c>
      <x:c r="J120" s="6" t="n">
        <x:v>0</x:v>
      </x:c>
      <x:c r="K120" s="4" t="str">
        <x:v>-88</x:v>
      </x:c>
      <x:c r="L120" s="6" t="n">
        <x:v>88</x:v>
      </x:c>
      <x:c r="M120" s="6" t="n">
        <x:v>4.4886363697</x:v>
      </x:c>
      <x:c r="N120" s="6" t="n">
        <x:v>0</x:v>
      </x:c>
      <x:c r="O120" s="4" t="str">
        <x:v>Glioblastoma</x:v>
      </x:c>
      <x:c r="P120" s="6" t="n">
        <x:v>1</x:v>
      </x:c>
      <x:c r="Q120" s="8" t="n">
        <x:v>0.8982744391</x:v>
      </x:c>
      <x:c r="R120" s="6" t="n">
        <x:f>IF(Q120&gt;=Scope!$B$9,1,0)</x:f>
        <x:v>1</x:v>
      </x:c>
      <x:c r="S120" s="8" t="n">
        <x:v>0.8555051638</x:v>
      </x:c>
      <x:c r="T120" s="6" t="n">
        <x:f>IF(S120&gt;=Scope!$B$9,1,0)</x:f>
        <x:v>1</x:v>
      </x:c>
      <x:c r="U120" s="8" t="n">
        <x:v>0.7842105263</x:v>
      </x:c>
      <x:c r="V120" s="6" t="n">
        <x:f>IF(U120&gt;=Scope!$B$9,1,0)</x:f>
        <x:v>1</x:v>
      </x:c>
      <x:c r="W120" s="8" t="n">
        <x:f>(F120-Q120)^2</x:f>
        <x:v>0.0103480897404196</x:v>
      </x:c>
      <x:c r="X120" s="8" t="n">
        <x:f>(F120-S120)^2</x:f>
        <x:v>0.02087875768846484</x:v>
      </x:c>
      <x:c r="Y120" s="8" t="n">
        <x:f>(F120-U120)^2</x:f>
        <x:v>0.046565096959722996</x:v>
      </x:c>
    </x:row>
    <x:row r="121" ht="28" customHeight="1">
      <x:c r="A121" s="4" t="str">
        <x:v>UCSD-PTGBM-0089_01</x:v>
      </x:c>
      <x:c r="B121" s="4" t="str">
        <x:v>UCSD-PTGBM-0089</x:v>
      </x:c>
      <x:c r="C121" s="4" t="str">
        <x:v>BraTS-GLI-02344-100</x:v>
      </x:c>
      <x:c r="D121" s="4" t="str">
        <x:v>BraTS-GLI-02344</x:v>
      </x:c>
      <x:c r="E121" s="4" t="str">
        <x:v>dualid:UCSD-PTGBM-0089</x:v>
      </x:c>
      <x:c r="F121" s="6" t="n">
        <x:v>1</x:v>
      </x:c>
      <x:c r="G121" s="4" t="str">
        <x:v>derived_from_published_243_equals_192_plus_51_partition</x:v>
      </x:c>
      <x:c r="H121" s="6" t="n">
        <x:v>73</x:v>
      </x:c>
      <x:c r="I121" s="6" t="n">
        <x:v>0</x:v>
      </x:c>
      <x:c r="J121" s="6" t="n">
        <x:v>0</x:v>
      </x:c>
      <x:c r="K121" s="4" t="str">
        <x:v>Unknown</x:v>
      </x:c>
      <x:c r="L121" s="6"/>
      <x:c r="M121" s="6"/>
      <x:c r="N121" s="6" t="n">
        <x:v>1</x:v>
      </x:c>
      <x:c r="O121" s="4" t="str">
        <x:v>Glioblastoma</x:v>
      </x:c>
      <x:c r="P121" s="6" t="n">
        <x:v>1</x:v>
      </x:c>
      <x:c r="Q121" s="8" t="n">
        <x:v>0.8117865672</x:v>
      </x:c>
      <x:c r="R121" s="6" t="n">
        <x:f>IF(Q121&gt;=Scope!$B$9,1,0)</x:f>
        <x:v>1</x:v>
      </x:c>
      <x:c r="S121" s="8" t="n">
        <x:v>0.8806691794</x:v>
      </x:c>
      <x:c r="T121" s="6" t="n">
        <x:f>IF(S121&gt;=Scope!$B$9,1,0)</x:f>
        <x:v>1</x:v>
      </x:c>
      <x:c r="U121" s="8" t="n">
        <x:v>0.7842105263</x:v>
      </x:c>
      <x:c r="V121" s="6" t="n">
        <x:f>IF(U121&gt;=Scope!$B$9,1,0)</x:f>
        <x:v>1</x:v>
      </x:c>
      <x:c r="W121" s="8" t="n">
        <x:f>(F121-Q121)^2</x:f>
        <x:v>0.035424296286360124</x:v>
      </x:c>
      <x:c r="X121" s="8" t="n">
        <x:f>(F121-S121)^2</x:f>
        <x:v>0.014239844745069384</x:v>
      </x:c>
      <x:c r="Y121" s="8" t="n">
        <x:f>(F121-U121)^2</x:f>
        <x:v>0.046565096959722996</x:v>
      </x:c>
    </x:row>
    <x:row r="122" ht="28" customHeight="1">
      <x:c r="A122" s="4" t="str">
        <x:v>UCSD-PTGBM-0090_01</x:v>
      </x:c>
      <x:c r="B122" s="4" t="str">
        <x:v>UCSD-PTGBM-0090</x:v>
      </x:c>
      <x:c r="C122" s="4" t="str">
        <x:v>BraTS-GLI-02345-100</x:v>
      </x:c>
      <x:c r="D122" s="4" t="str">
        <x:v>BraTS-GLI-02345</x:v>
      </x:c>
      <x:c r="E122" s="4" t="str">
        <x:v>dualid:UCSD-PTGBM-0090</x:v>
      </x:c>
      <x:c r="F122" s="6" t="n">
        <x:v>1</x:v>
      </x:c>
      <x:c r="G122" s="4" t="str">
        <x:v>derived_from_published_243_equals_192_plus_51_partition</x:v>
      </x:c>
      <x:c r="H122" s="6" t="n">
        <x:v>52</x:v>
      </x:c>
      <x:c r="I122" s="6" t="n">
        <x:v>1</x:v>
      </x:c>
      <x:c r="J122" s="6" t="n">
        <x:v>0</x:v>
      </x:c>
      <x:c r="K122" s="4" t="str">
        <x:v>Unknown</x:v>
      </x:c>
      <x:c r="L122" s="6"/>
      <x:c r="M122" s="6"/>
      <x:c r="N122" s="6" t="n">
        <x:v>1</x:v>
      </x:c>
      <x:c r="O122" s="4" t="str">
        <x:v>Glioblastoma</x:v>
      </x:c>
      <x:c r="P122" s="6" t="n">
        <x:v>5</x:v>
      </x:c>
      <x:c r="Q122" s="8" t="n">
        <x:v>0.7963586111</x:v>
      </x:c>
      <x:c r="R122" s="6" t="n">
        <x:f>IF(Q122&gt;=Scope!$B$9,1,0)</x:f>
        <x:v>1</x:v>
      </x:c>
      <x:c r="S122" s="8" t="n">
        <x:v>0.8597246185</x:v>
      </x:c>
      <x:c r="T122" s="6" t="n">
        <x:f>IF(S122&gt;=Scope!$B$9,1,0)</x:f>
        <x:v>1</x:v>
      </x:c>
      <x:c r="U122" s="8" t="n">
        <x:v>0.7853403141</x:v>
      </x:c>
      <x:c r="V122" s="6" t="n">
        <x:f>IF(U122&gt;=Scope!$B$9,1,0)</x:f>
        <x:v>1</x:v>
      </x:c>
      <x:c r="W122" s="8" t="n">
        <x:f>(F122-Q122)^2</x:f>
        <x:v>0.04146981527312107</x:v>
      </x:c>
      <x:c r="X122" s="8" t="n">
        <x:f>(F122-S122)^2</x:f>
        <x:v>0.01967718265497053</x:v>
      </x:c>
      <x:c r="Y122" s="8" t="n">
        <x:f>(F122-U122)^2</x:f>
        <x:v>0.04607878075068664</x:v>
      </x:c>
    </x:row>
    <x:row r="123" ht="28" customHeight="1">
      <x:c r="A123" s="4" t="str">
        <x:v>UCSD-PTGBM-0091_01</x:v>
      </x:c>
      <x:c r="B123" s="4" t="str">
        <x:v>UCSD-PTGBM-0091</x:v>
      </x:c>
      <x:c r="C123" s="4" t="str">
        <x:v>BraTS-GLI-02346-100</x:v>
      </x:c>
      <x:c r="D123" s="4" t="str">
        <x:v>BraTS-GLI-02346</x:v>
      </x:c>
      <x:c r="E123" s="4" t="str">
        <x:v>dualid:UCSD-PTGBM-0091</x:v>
      </x:c>
      <x:c r="F123" s="6" t="n">
        <x:v>0</x:v>
      </x:c>
      <x:c r="G123" s="4" t="str">
        <x:v>explicit_negative_case_list</x:v>
      </x:c>
      <x:c r="H123" s="6" t="n">
        <x:v>56</x:v>
      </x:c>
      <x:c r="I123" s="6" t="n">
        <x:v>1</x:v>
      </x:c>
      <x:c r="J123" s="6" t="n">
        <x:v>0</x:v>
      </x:c>
      <x:c r="K123" s="4" t="str">
        <x:v>-28</x:v>
      </x:c>
      <x:c r="L123" s="6" t="n">
        <x:v>28</x:v>
      </x:c>
      <x:c r="M123" s="6" t="n">
        <x:v>3.36729583</x:v>
      </x:c>
      <x:c r="N123" s="6" t="n">
        <x:v>0</x:v>
      </x:c>
      <x:c r="O123" s="4" t="str">
        <x:v>Glioblastoma</x:v>
      </x:c>
      <x:c r="P123" s="6" t="n">
        <x:v>2</x:v>
      </x:c>
      <x:c r="Q123" s="8" t="n">
        <x:v>0.8127562714</x:v>
      </x:c>
      <x:c r="R123" s="6" t="n">
        <x:f>IF(Q123&gt;=Scope!$B$9,1,0)</x:f>
        <x:v>1</x:v>
      </x:c>
      <x:c r="S123" s="8" t="n">
        <x:v>0.8582396269</x:v>
      </x:c>
      <x:c r="T123" s="6" t="n">
        <x:f>IF(S123&gt;=Scope!$B$9,1,0)</x:f>
        <x:v>1</x:v>
      </x:c>
      <x:c r="U123" s="8" t="n">
        <x:v>0.7883597884</x:v>
      </x:c>
      <x:c r="V123" s="6" t="n">
        <x:f>IF(U123&gt;=Scope!$B$9,1,0)</x:f>
        <x:v>1</x:v>
      </x:c>
      <x:c r="W123" s="8" t="n">
        <x:f>(F123-Q123)^2</x:f>
        <x:v>0.6605727567000304</x:v>
      </x:c>
      <x:c r="X123" s="8" t="n">
        <x:f>(F123-S123)^2</x:f>
        <x:v>0.7365752571814512</x:v>
      </x:c>
      <x:c r="Y123" s="8" t="n">
        <x:f>(F123-U123)^2</x:f>
        <x:v>0.6215111559660927</x:v>
      </x:c>
    </x:row>
    <x:row r="124" ht="28" customHeight="1">
      <x:c r="A124" s="4" t="str">
        <x:v>UCSD-PTGBM-0092_01</x:v>
      </x:c>
      <x:c r="B124" s="4" t="str">
        <x:v>UCSD-PTGBM-0092</x:v>
      </x:c>
      <x:c r="C124" s="4" t="str">
        <x:v>BraTS-GLI-02347-100</x:v>
      </x:c>
      <x:c r="D124" s="4" t="str">
        <x:v>BraTS-GLI-02347</x:v>
      </x:c>
      <x:c r="E124" s="4" t="str">
        <x:v>dualid:UCSD-PTGBM-0092</x:v>
      </x:c>
      <x:c r="F124" s="6" t="n">
        <x:v>1</x:v>
      </x:c>
      <x:c r="G124" s="4" t="str">
        <x:v>derived_from_published_243_equals_192_plus_51_partition</x:v>
      </x:c>
      <x:c r="H124" s="6" t="n">
        <x:v>53</x:v>
      </x:c>
      <x:c r="I124" s="6" t="n">
        <x:v>1</x:v>
      </x:c>
      <x:c r="J124" s="6" t="n">
        <x:v>0</x:v>
      </x:c>
      <x:c r="K124" s="4" t="str">
        <x:v>Unknown</x:v>
      </x:c>
      <x:c r="L124" s="6"/>
      <x:c r="M124" s="6"/>
      <x:c r="N124" s="6" t="n">
        <x:v>1</x:v>
      </x:c>
      <x:c r="O124" s="4" t="str">
        <x:v>Glioblastoma</x:v>
      </x:c>
      <x:c r="P124" s="6" t="n">
        <x:v>4</x:v>
      </x:c>
      <x:c r="Q124" s="8" t="n">
        <x:v>0.8062713765</x:v>
      </x:c>
      <x:c r="R124" s="6" t="n">
        <x:f>IF(Q124&gt;=Scope!$B$9,1,0)</x:f>
        <x:v>1</x:v>
      </x:c>
      <x:c r="S124" s="8" t="n">
        <x:v>0.8814741771</x:v>
      </x:c>
      <x:c r="T124" s="6" t="n">
        <x:f>IF(S124&gt;=Scope!$B$9,1,0)</x:f>
        <x:v>1</x:v>
      </x:c>
      <x:c r="U124" s="8" t="n">
        <x:v>0.7853403141</x:v>
      </x:c>
      <x:c r="V124" s="6" t="n">
        <x:f>IF(U124&gt;=Scope!$B$9,1,0)</x:f>
        <x:v>1</x:v>
      </x:c>
      <x:c r="W124" s="8" t="n">
        <x:f>(F124-Q124)^2</x:f>
        <x:v>0.03753077956320474</x:v>
      </x:c>
      <x:c r="X124" s="8" t="n">
        <x:f>(F124-S124)^2</x:f>
        <x:v>0.014048370694122169</x:v>
      </x:c>
      <x:c r="Y124" s="8" t="n">
        <x:f>(F124-U124)^2</x:f>
        <x:v>0.04607878075068664</x:v>
      </x:c>
    </x:row>
    <x:row r="125" ht="28" customHeight="1">
      <x:c r="A125" s="4" t="str">
        <x:v>UCSD-PTGBM-0093_01</x:v>
      </x:c>
      <x:c r="B125" s="4" t="str">
        <x:v>UCSD-PTGBM-0093</x:v>
      </x:c>
      <x:c r="C125" s="4" t="str">
        <x:v>BraTS-GLI-02348-100</x:v>
      </x:c>
      <x:c r="D125" s="4" t="str">
        <x:v>BraTS-GLI-02348</x:v>
      </x:c>
      <x:c r="E125" s="4" t="str">
        <x:v>dualid:UCSD-PTGBM-0093</x:v>
      </x:c>
      <x:c r="F125" s="6" t="n">
        <x:v>1</x:v>
      </x:c>
      <x:c r="G125" s="4" t="str">
        <x:v>derived_from_published_243_equals_192_plus_51_partition</x:v>
      </x:c>
      <x:c r="H125" s="6" t="n">
        <x:v>56</x:v>
      </x:c>
      <x:c r="I125" s="6" t="n">
        <x:v>1</x:v>
      </x:c>
      <x:c r="J125" s="6" t="n">
        <x:v>0</x:v>
      </x:c>
      <x:c r="K125" s="4" t="str">
        <x:v>-26</x:v>
      </x:c>
      <x:c r="L125" s="6" t="n">
        <x:v>26</x:v>
      </x:c>
      <x:c r="M125" s="6" t="n">
        <x:v>3.295836866</x:v>
      </x:c>
      <x:c r="N125" s="6" t="n">
        <x:v>0</x:v>
      </x:c>
      <x:c r="O125" s="4" t="str">
        <x:v>Glioblastoma</x:v>
      </x:c>
      <x:c r="P125" s="6" t="n">
        <x:v>2</x:v>
      </x:c>
      <x:c r="Q125" s="8" t="n">
        <x:v>0.8127562714</x:v>
      </x:c>
      <x:c r="R125" s="6" t="n">
        <x:f>IF(Q125&gt;=Scope!$B$9,1,0)</x:f>
        <x:v>1</x:v>
      </x:c>
      <x:c r="S125" s="8" t="n">
        <x:v>0.861503449</x:v>
      </x:c>
      <x:c r="T125" s="6" t="n">
        <x:f>IF(S125&gt;=Scope!$B$9,1,0)</x:f>
        <x:v>1</x:v>
      </x:c>
      <x:c r="U125" s="8" t="n">
        <x:v>0.7883597884</x:v>
      </x:c>
      <x:c r="V125" s="6" t="n">
        <x:f>IF(U125&gt;=Scope!$B$9,1,0)</x:f>
        <x:v>1</x:v>
      </x:c>
      <x:c r="W125" s="8" t="n">
        <x:f>(F125-Q125)^2</x:f>
        <x:v>0.035060213900030474</x:v>
      </x:c>
      <x:c r="X125" s="8" t="n">
        <x:f>(F125-S125)^2</x:f>
        <x:v>0.019181294638895608</x:v>
      </x:c>
      <x:c r="Y125" s="8" t="n">
        <x:f>(F125-U125)^2</x:f>
        <x:v>0.04479157916609278</x:v>
      </x:c>
    </x:row>
    <x:row r="126" ht="28" customHeight="1">
      <x:c r="A126" s="4" t="str">
        <x:v>UCSD-PTGBM-0094_01</x:v>
      </x:c>
      <x:c r="B126" s="4" t="str">
        <x:v>UCSD-PTGBM-0094</x:v>
      </x:c>
      <x:c r="C126" s="4" t="str">
        <x:v>BraTS-GLI-02349-100</x:v>
      </x:c>
      <x:c r="D126" s="4" t="str">
        <x:v>BraTS-GLI-02349</x:v>
      </x:c>
      <x:c r="E126" s="4" t="str">
        <x:v>dualid:UCSD-PTGBM-0094</x:v>
      </x:c>
      <x:c r="F126" s="6" t="n">
        <x:v>1</x:v>
      </x:c>
      <x:c r="G126" s="4" t="str">
        <x:v>derived_from_published_243_equals_192_plus_51_partition</x:v>
      </x:c>
      <x:c r="H126" s="6" t="n">
        <x:v>52</x:v>
      </x:c>
      <x:c r="I126" s="6" t="n">
        <x:v>1</x:v>
      </x:c>
      <x:c r="J126" s="6" t="n">
        <x:v>0</x:v>
      </x:c>
      <x:c r="K126" s="4" t="str">
        <x:v>-28</x:v>
      </x:c>
      <x:c r="L126" s="6" t="n">
        <x:v>28</x:v>
      </x:c>
      <x:c r="M126" s="6" t="n">
        <x:v>3.36729583</x:v>
      </x:c>
      <x:c r="N126" s="6" t="n">
        <x:v>0</x:v>
      </x:c>
      <x:c r="O126" s="4" t="str">
        <x:v>Glioblastoma</x:v>
      </x:c>
      <x:c r="P126" s="6" t="n">
        <x:v>1</x:v>
      </x:c>
      <x:c r="Q126" s="8" t="n">
        <x:v>0.8055952529</x:v>
      </x:c>
      <x:c r="R126" s="6" t="n">
        <x:f>IF(Q126&gt;=Scope!$B$9,1,0)</x:f>
        <x:v>1</x:v>
      </x:c>
      <x:c r="S126" s="8" t="n">
        <x:v>0.8621348203</x:v>
      </x:c>
      <x:c r="T126" s="6" t="n">
        <x:f>IF(S126&gt;=Scope!$B$9,1,0)</x:f>
        <x:v>1</x:v>
      </x:c>
      <x:c r="U126" s="8" t="n">
        <x:v>0.7842105263</x:v>
      </x:c>
      <x:c r="V126" s="6" t="n">
        <x:f>IF(U126&gt;=Scope!$B$9,1,0)</x:f>
        <x:v>1</x:v>
      </x:c>
      <x:c r="W126" s="8" t="n">
        <x:f>(F126-Q126)^2</x:f>
        <x:v>0.03779320569501496</x:v>
      </x:c>
      <x:c r="X126" s="8" t="n">
        <x:f>(F126-S126)^2</x:f>
        <x:v>0.019006807773713295</x:v>
      </x:c>
      <x:c r="Y126" s="8" t="n">
        <x:f>(F126-U126)^2</x:f>
        <x:v>0.046565096959722996</x:v>
      </x:c>
    </x:row>
    <x:row r="127" ht="28" customHeight="1">
      <x:c r="A127" s="4" t="str">
        <x:v>UCSD-PTGBM-0095_01</x:v>
      </x:c>
      <x:c r="B127" s="4" t="str">
        <x:v>UCSD-PTGBM-0095</x:v>
      </x:c>
      <x:c r="C127" s="4" t="str">
        <x:v>BraTS-GLI-02350-100</x:v>
      </x:c>
      <x:c r="D127" s="4" t="str">
        <x:v>BraTS-GLI-02350</x:v>
      </x:c>
      <x:c r="E127" s="4" t="str">
        <x:v>dualid:UCSD-PTGBM-0095</x:v>
      </x:c>
      <x:c r="F127" s="6" t="n">
        <x:v>1</x:v>
      </x:c>
      <x:c r="G127" s="4" t="str">
        <x:v>derived_from_published_243_equals_192_plus_51_partition</x:v>
      </x:c>
      <x:c r="H127" s="6" t="n">
        <x:v>58</x:v>
      </x:c>
      <x:c r="I127" s="6" t="n">
        <x:v>1</x:v>
      </x:c>
      <x:c r="J127" s="6" t="n">
        <x:v>1</x:v>
      </x:c>
      <x:c r="K127" s="4" t="str">
        <x:v>Unknown</x:v>
      </x:c>
      <x:c r="L127" s="6"/>
      <x:c r="M127" s="6"/>
      <x:c r="N127" s="6" t="n">
        <x:v>1</x:v>
      </x:c>
      <x:c r="O127" s="4" t="str">
        <x:v>Glioblastoma</x:v>
      </x:c>
      <x:c r="P127" s="6" t="n">
        <x:v>1</x:v>
      </x:c>
      <x:c r="Q127" s="8" t="n">
        <x:v>0.8289449561</x:v>
      </x:c>
      <x:c r="R127" s="6" t="n">
        <x:f>IF(Q127&gt;=Scope!$B$9,1,0)</x:f>
        <x:v>1</x:v>
      </x:c>
      <x:c r="S127" s="8" t="n">
        <x:v>0.9410191661</x:v>
      </x:c>
      <x:c r="T127" s="6" t="n">
        <x:f>IF(S127&gt;=Scope!$B$9,1,0)</x:f>
        <x:v>1</x:v>
      </x:c>
      <x:c r="U127" s="8" t="n">
        <x:v>0.7842105263</x:v>
      </x:c>
      <x:c r="V127" s="6" t="n">
        <x:f>IF(U127&gt;=Scope!$B$9,1,0)</x:f>
        <x:v>1</x:v>
      </x:c>
      <x:c r="W127" s="8" t="n">
        <x:f>(F127-Q127)^2</x:f>
        <x:v>0.02925982804363094</x:v>
      </x:c>
      <x:c r="X127" s="8" t="n">
        <x:f>(F127-S127)^2</x:f>
        <x:v>0.003478738767539386</x:v>
      </x:c>
      <x:c r="Y127" s="8" t="n">
        <x:f>(F127-U127)^2</x:f>
        <x:v>0.046565096959722996</x:v>
      </x:c>
    </x:row>
    <x:row r="128" ht="28" customHeight="1">
      <x:c r="A128" s="4" t="str">
        <x:v>UCSD-PTGBM-0096_01</x:v>
      </x:c>
      <x:c r="B128" s="4" t="str">
        <x:v>UCSD-PTGBM-0096</x:v>
      </x:c>
      <x:c r="C128" s="4" t="str">
        <x:v>BraTS-GLI-02351-100</x:v>
      </x:c>
      <x:c r="D128" s="4" t="str">
        <x:v>BraTS-GLI-02351</x:v>
      </x:c>
      <x:c r="E128" s="4" t="str">
        <x:v>dualid:UCSD-PTGBM-0096</x:v>
      </x:c>
      <x:c r="F128" s="6" t="n">
        <x:v>1</x:v>
      </x:c>
      <x:c r="G128" s="4" t="str">
        <x:v>derived_from_published_243_equals_192_plus_51_partition</x:v>
      </x:c>
      <x:c r="H128" s="6" t="n">
        <x:v>64</x:v>
      </x:c>
      <x:c r="I128" s="6" t="n">
        <x:v>1</x:v>
      </x:c>
      <x:c r="J128" s="6" t="n">
        <x:v>0</x:v>
      </x:c>
      <x:c r="K128" s="4" t="str">
        <x:v>Unknown</x:v>
      </x:c>
      <x:c r="L128" s="6"/>
      <x:c r="M128" s="6"/>
      <x:c r="N128" s="6" t="n">
        <x:v>1</x:v>
      </x:c>
      <x:c r="O128" s="4" t="str">
        <x:v>Glioblastoma</x:v>
      </x:c>
      <x:c r="P128" s="6" t="n">
        <x:v>2</x:v>
      </x:c>
      <x:c r="Q128" s="8" t="n">
        <x:v>0.8434685415</x:v>
      </x:c>
      <x:c r="R128" s="6" t="n">
        <x:f>IF(Q128&gt;=Scope!$B$9,1,0)</x:f>
        <x:v>1</x:v>
      </x:c>
      <x:c r="S128" s="8" t="n">
        <x:v>0.904706634</x:v>
      </x:c>
      <x:c r="T128" s="6" t="n">
        <x:f>IF(S128&gt;=Scope!$B$9,1,0)</x:f>
        <x:v>1</x:v>
      </x:c>
      <x:c r="U128" s="8" t="n">
        <x:v>0.7883597884</x:v>
      </x:c>
      <x:c r="V128" s="6" t="n">
        <x:f>IF(U128&gt;=Scope!$B$9,1,0)</x:f>
        <x:v>1</x:v>
      </x:c>
      <x:c r="W128" s="8" t="n">
        <x:f>(F128-Q128)^2</x:f>
        <x:v>0.024502097500137238</x:v>
      </x:c>
      <x:c r="X128" s="8" t="n">
        <x:f>(F128-S128)^2</x:f>
        <x:v>0.009080825603609965</x:v>
      </x:c>
      <x:c r="Y128" s="8" t="n">
        <x:f>(F128-U128)^2</x:f>
        <x:v>0.04479157916609278</x:v>
      </x:c>
    </x:row>
    <x:row r="129" ht="28" customHeight="1">
      <x:c r="A129" s="4" t="str">
        <x:v>UCSD-PTGBM-0097_01</x:v>
      </x:c>
      <x:c r="B129" s="4" t="str">
        <x:v>UCSD-PTGBM-0097</x:v>
      </x:c>
      <x:c r="C129" s="4" t="str">
        <x:v>BraTS-GLI-02352-100</x:v>
      </x:c>
      <x:c r="D129" s="4" t="str">
        <x:v>BraTS-GLI-02352</x:v>
      </x:c>
      <x:c r="E129" s="4" t="str">
        <x:v>dualid:UCSD-PTGBM-0097</x:v>
      </x:c>
      <x:c r="F129" s="6" t="n">
        <x:v>1</x:v>
      </x:c>
      <x:c r="G129" s="4" t="str">
        <x:v>derived_from_published_243_equals_192_plus_51_partition</x:v>
      </x:c>
      <x:c r="H129" s="6" t="n">
        <x:v>71</x:v>
      </x:c>
      <x:c r="I129" s="6" t="n">
        <x:v>1</x:v>
      </x:c>
      <x:c r="J129" s="6" t="n">
        <x:v>0</x:v>
      </x:c>
      <x:c r="K129" s="4" t="str">
        <x:v>Unknown</x:v>
      </x:c>
      <x:c r="L129" s="6"/>
      <x:c r="M129" s="6"/>
      <x:c r="N129" s="6" t="n">
        <x:v>1</x:v>
      </x:c>
      <x:c r="O129" s="4" t="str">
        <x:v>Glioblastoma</x:v>
      </x:c>
      <x:c r="P129" s="6" t="n">
        <x:v>4</x:v>
      </x:c>
      <x:c r="Q129" s="8" t="n">
        <x:v>0.8837848219</x:v>
      </x:c>
      <x:c r="R129" s="6" t="n">
        <x:f>IF(Q129&gt;=Scope!$B$9,1,0)</x:f>
        <x:v>1</x:v>
      </x:c>
      <x:c r="S129" s="8" t="n">
        <x:v>0.9160894587</x:v>
      </x:c>
      <x:c r="T129" s="6" t="n">
        <x:f>IF(S129&gt;=Scope!$B$9,1,0)</x:f>
        <x:v>1</x:v>
      </x:c>
      <x:c r="U129" s="8" t="n">
        <x:v>0.7853403141</x:v>
      </x:c>
      <x:c r="V129" s="6" t="n">
        <x:f>IF(U129&gt;=Scope!$B$9,1,0)</x:f>
        <x:v>1</x:v>
      </x:c>
      <x:c r="W129" s="8" t="n">
        <x:f>(F129-Q129)^2</x:f>
        <x:v>0.013505967620814728</x:v>
      </x:c>
      <x:c r="X129" s="8" t="n">
        <x:f>(F129-S129)^2</x:f>
        <x:v>0.007040978941259001</x:v>
      </x:c>
      <x:c r="Y129" s="8" t="n">
        <x:f>(F129-U129)^2</x:f>
        <x:v>0.04607878075068664</x:v>
      </x:c>
    </x:row>
    <x:row r="130" ht="28" customHeight="1">
      <x:c r="A130" s="4" t="str">
        <x:v>UCSD-PTGBM-0098_01</x:v>
      </x:c>
      <x:c r="B130" s="4" t="str">
        <x:v>UCSD-PTGBM-0098</x:v>
      </x:c>
      <x:c r="C130" s="4" t="str">
        <x:v>BraTS-GLI-02353-100</x:v>
      </x:c>
      <x:c r="D130" s="4" t="str">
        <x:v>BraTS-GLI-02353</x:v>
      </x:c>
      <x:c r="E130" s="4" t="str">
        <x:v>dualid:UCSD-PTGBM-0098</x:v>
      </x:c>
      <x:c r="F130" s="6" t="n">
        <x:v>1</x:v>
      </x:c>
      <x:c r="G130" s="4" t="str">
        <x:v>derived_from_published_243_equals_192_plus_51_partition</x:v>
      </x:c>
      <x:c r="H130" s="6" t="n">
        <x:v>76</x:v>
      </x:c>
      <x:c r="I130" s="6" t="n">
        <x:v>1</x:v>
      </x:c>
      <x:c r="J130" s="6" t="n">
        <x:v>0</x:v>
      </x:c>
      <x:c r="K130" s="4" t="str">
        <x:v>Unknown</x:v>
      </x:c>
      <x:c r="L130" s="6"/>
      <x:c r="M130" s="6"/>
      <x:c r="N130" s="6" t="n">
        <x:v>1</x:v>
      </x:c>
      <x:c r="O130" s="4" t="str">
        <x:v>Glioblastoma</x:v>
      </x:c>
      <x:c r="P130" s="6" t="n">
        <x:v>4</x:v>
      </x:c>
      <x:c r="Q130" s="8" t="n">
        <x:v>0.8999092689</x:v>
      </x:c>
      <x:c r="R130" s="6" t="n">
        <x:f>IF(Q130&gt;=Scope!$B$9,1,0)</x:f>
        <x:v>1</x:v>
      </x:c>
      <x:c r="S130" s="8" t="n">
        <x:v>0.9239313174</x:v>
      </x:c>
      <x:c r="T130" s="6" t="n">
        <x:f>IF(S130&gt;=Scope!$B$9,1,0)</x:f>
        <x:v>1</x:v>
      </x:c>
      <x:c r="U130" s="8" t="n">
        <x:v>0.7853403141</x:v>
      </x:c>
      <x:c r="V130" s="6" t="n">
        <x:f>IF(U130&gt;=Scope!$B$9,1,0)</x:f>
        <x:v>1</x:v>
      </x:c>
      <x:c r="W130" s="8" t="n">
        <x:f>(F130-Q130)^2</x:f>
        <x:v>0.010018154452132506</x:v>
      </x:c>
      <x:c r="X130" s="8" t="n">
        <x:f>(F130-S130)^2</x:f>
        <x:v>0.005786444472499542</x:v>
      </x:c>
      <x:c r="Y130" s="8" t="n">
        <x:f>(F130-U130)^2</x:f>
        <x:v>0.04607878075068664</x:v>
      </x:c>
    </x:row>
    <x:row r="131" ht="28" customHeight="1">
      <x:c r="A131" s="4" t="str">
        <x:v>UCSD-PTGBM-0099_01</x:v>
      </x:c>
      <x:c r="B131" s="4" t="str">
        <x:v>UCSD-PTGBM-0099</x:v>
      </x:c>
      <x:c r="C131" s="4" t="str">
        <x:v>BraTS-GLI-02354-100</x:v>
      </x:c>
      <x:c r="D131" s="4" t="str">
        <x:v>BraTS-GLI-02354</x:v>
      </x:c>
      <x:c r="E131" s="4" t="str">
        <x:v>dualid:UCSD-PTGBM-0099</x:v>
      </x:c>
      <x:c r="F131" s="6" t="n">
        <x:v>1</x:v>
      </x:c>
      <x:c r="G131" s="4" t="str">
        <x:v>derived_from_published_243_equals_192_plus_51_partition</x:v>
      </x:c>
      <x:c r="H131" s="6" t="n">
        <x:v>67</x:v>
      </x:c>
      <x:c r="I131" s="6" t="n">
        <x:v>1</x:v>
      </x:c>
      <x:c r="J131" s="6" t="n">
        <x:v>0</x:v>
      </x:c>
      <x:c r="K131" s="4" t="str">
        <x:v>-42</x:v>
      </x:c>
      <x:c r="L131" s="6" t="n">
        <x:v>42</x:v>
      </x:c>
      <x:c r="M131" s="6" t="n">
        <x:v>3.7612001157</x:v>
      </x:c>
      <x:c r="N131" s="6" t="n">
        <x:v>0</x:v>
      </x:c>
      <x:c r="O131" s="4" t="str">
        <x:v>Glioblastoma</x:v>
      </x:c>
      <x:c r="P131" s="6" t="n">
        <x:v>1</x:v>
      </x:c>
      <x:c r="Q131" s="8" t="n">
        <x:v>0.8597194999</x:v>
      </x:c>
      <x:c r="R131" s="6" t="n">
        <x:f>IF(Q131&gt;=Scope!$B$9,1,0)</x:f>
        <x:v>1</x:v>
      </x:c>
      <x:c r="S131" s="8" t="n">
        <x:v>0.8674356399</x:v>
      </x:c>
      <x:c r="T131" s="6" t="n">
        <x:f>IF(S131&gt;=Scope!$B$9,1,0)</x:f>
        <x:v>1</x:v>
      </x:c>
      <x:c r="U131" s="8" t="n">
        <x:v>0.7842105263</x:v>
      </x:c>
      <x:c r="V131" s="6" t="n">
        <x:f>IF(U131&gt;=Scope!$B$9,1,0)</x:f>
        <x:v>1</x:v>
      </x:c>
      <x:c r="W131" s="8" t="n">
        <x:f>(F131-Q131)^2</x:f>
        <x:v>0.01967861870830611</x:v>
      </x:c>
      <x:c r="X131" s="8" t="n">
        <x:f>(F131-S131)^2</x:f>
        <x:v>0.017573309568722457</x:v>
      </x:c>
      <x:c r="Y131" s="8" t="n">
        <x:f>(F131-U131)^2</x:f>
        <x:v>0.046565096959722996</x:v>
      </x:c>
    </x:row>
    <x:row r="132" ht="28" customHeight="1">
      <x:c r="A132" s="4" t="str">
        <x:v>UCSD-PTGBM-0100_01</x:v>
      </x:c>
      <x:c r="B132" s="4" t="str">
        <x:v>UCSD-PTGBM-0100</x:v>
      </x:c>
      <x:c r="C132" s="4" t="str">
        <x:v>BraTS-GLI-02355-100</x:v>
      </x:c>
      <x:c r="D132" s="4" t="str">
        <x:v>BraTS-GLI-02355</x:v>
      </x:c>
      <x:c r="E132" s="4" t="str">
        <x:v>dualid:UCSD-PTGBM-0100</x:v>
      </x:c>
      <x:c r="F132" s="6" t="n">
        <x:v>1</x:v>
      </x:c>
      <x:c r="G132" s="4" t="str">
        <x:v>derived_from_published_243_equals_192_plus_51_partition</x:v>
      </x:c>
      <x:c r="H132" s="6" t="n">
        <x:v>61</x:v>
      </x:c>
      <x:c r="I132" s="6" t="n">
        <x:v>0</x:v>
      </x:c>
      <x:c r="J132" s="6" t="n">
        <x:v>0</x:v>
      </x:c>
      <x:c r="K132" s="4" t="str">
        <x:v>-62</x:v>
      </x:c>
      <x:c r="L132" s="6" t="n">
        <x:v>62</x:v>
      </x:c>
      <x:c r="M132" s="6" t="n">
        <x:v>4.1431347264</x:v>
      </x:c>
      <x:c r="N132" s="6" t="n">
        <x:v>0</x:v>
      </x:c>
      <x:c r="O132" s="4" t="str">
        <x:v>Glioblastoma</x:v>
      </x:c>
      <x:c r="P132" s="6" t="n">
        <x:v>3</x:v>
      </x:c>
      <x:c r="Q132" s="8" t="n">
        <x:v>0.7768065277</x:v>
      </x:c>
      <x:c r="R132" s="6" t="n">
        <x:f>IF(Q132&gt;=Scope!$B$9,1,0)</x:f>
        <x:v>1</x:v>
      </x:c>
      <x:c r="S132" s="8" t="n">
        <x:v>0.8116674215</x:v>
      </x:c>
      <x:c r="T132" s="6" t="n">
        <x:f>IF(S132&gt;=Scope!$B$9,1,0)</x:f>
        <x:v>1</x:v>
      </x:c>
      <x:c r="U132" s="8" t="n">
        <x:v>0.7853403141</x:v>
      </x:c>
      <x:c r="V132" s="6" t="n">
        <x:f>IF(U132&gt;=Scope!$B$9,1,0)</x:f>
        <x:v>1</x:v>
      </x:c>
      <x:c r="W132" s="8" t="n">
        <x:f>(F132-Q132)^2</x:f>
        <x:v>0.04981532607733086</x:v>
      </x:c>
      <x:c r="X132" s="8" t="n">
        <x:f>(F132-S132)^2</x:f>
        <x:v>0.035469160124458644</x:v>
      </x:c>
      <x:c r="Y132" s="8" t="n">
        <x:f>(F132-U132)^2</x:f>
        <x:v>0.04607878075068664</x:v>
      </x:c>
    </x:row>
    <x:row r="133" ht="28" customHeight="1">
      <x:c r="A133" s="4" t="str">
        <x:v>UCSD-PTGBM-0101_01</x:v>
      </x:c>
      <x:c r="B133" s="4" t="str">
        <x:v>UCSD-PTGBM-0101</x:v>
      </x:c>
      <x:c r="C133" s="4" t="str">
        <x:v>BraTS-GLI-02356-100</x:v>
      </x:c>
      <x:c r="D133" s="4" t="str">
        <x:v>BraTS-GLI-02356</x:v>
      </x:c>
      <x:c r="E133" s="4" t="str">
        <x:v>dualid:UCSD-PTGBM-0101</x:v>
      </x:c>
      <x:c r="F133" s="6" t="n">
        <x:v>1</x:v>
      </x:c>
      <x:c r="G133" s="4" t="str">
        <x:v>derived_from_published_243_equals_192_plus_51_partition</x:v>
      </x:c>
      <x:c r="H133" s="6" t="n">
        <x:v>88</x:v>
      </x:c>
      <x:c r="I133" s="6" t="n">
        <x:v>0</x:v>
      </x:c>
      <x:c r="J133" s="6" t="n">
        <x:v>0</x:v>
      </x:c>
      <x:c r="K133" s="4" t="str">
        <x:v>Unknown</x:v>
      </x:c>
      <x:c r="L133" s="6"/>
      <x:c r="M133" s="6"/>
      <x:c r="N133" s="6" t="n">
        <x:v>1</x:v>
      </x:c>
      <x:c r="O133" s="4" t="str">
        <x:v>Glioblastoma</x:v>
      </x:c>
      <x:c r="P133" s="6" t="n">
        <x:v>3</x:v>
      </x:c>
      <x:c r="Q133" s="8" t="n">
        <x:v>0.8785521186</x:v>
      </x:c>
      <x:c r="R133" s="6" t="n">
        <x:f>IF(Q133&gt;=Scope!$B$9,1,0)</x:f>
        <x:v>1</x:v>
      </x:c>
      <x:c r="S133" s="8" t="n">
        <x:v>0.9308066146</x:v>
      </x:c>
      <x:c r="T133" s="6" t="n">
        <x:f>IF(S133&gt;=Scope!$B$9,1,0)</x:f>
        <x:v>1</x:v>
      </x:c>
      <x:c r="U133" s="8" t="n">
        <x:v>0.7853403141</x:v>
      </x:c>
      <x:c r="V133" s="6" t="n">
        <x:f>IF(U133&gt;=Scope!$B$9,1,0)</x:f>
        <x:v>1</x:v>
      </x:c>
      <x:c r="W133" s="8" t="n">
        <x:f>(F133-Q133)^2</x:f>
        <x:v>0.014749587896548455</x:v>
      </x:c>
      <x:c r="X133" s="8" t="n">
        <x:f>(F133-S133)^2</x:f>
        <x:v>0.00478772458311293</x:v>
      </x:c>
      <x:c r="Y133" s="8" t="n">
        <x:f>(F133-U133)^2</x:f>
        <x:v>0.04607878075068664</x:v>
      </x:c>
    </x:row>
    <x:row r="134" ht="28" customHeight="1">
      <x:c r="A134" s="4" t="str">
        <x:v>UCSD-PTGBM-0101_02</x:v>
      </x:c>
      <x:c r="B134" s="4" t="str">
        <x:v>UCSD-PTGBM-0101</x:v>
      </x:c>
      <x:c r="C134" s="4" t="str">
        <x:v>BraTS-GLI-02356-101</x:v>
      </x:c>
      <x:c r="D134" s="4" t="str">
        <x:v>BraTS-GLI-02356</x:v>
      </x:c>
      <x:c r="E134" s="4" t="str">
        <x:v>dualid:UCSD-PTGBM-0101</x:v>
      </x:c>
      <x:c r="F134" s="6" t="n">
        <x:v>1</x:v>
      </x:c>
      <x:c r="G134" s="4" t="str">
        <x:v>derived_from_published_243_equals_192_plus_51_partition</x:v>
      </x:c>
      <x:c r="H134" s="6" t="n">
        <x:v>88</x:v>
      </x:c>
      <x:c r="I134" s="6" t="n">
        <x:v>0</x:v>
      </x:c>
      <x:c r="J134" s="6" t="n">
        <x:v>0</x:v>
      </x:c>
      <x:c r="K134" s="4" t="str">
        <x:v>Unknown</x:v>
      </x:c>
      <x:c r="L134" s="6"/>
      <x:c r="M134" s="6"/>
      <x:c r="N134" s="6" t="n">
        <x:v>1</x:v>
      </x:c>
      <x:c r="O134" s="4" t="str">
        <x:v>Glioblastoma</x:v>
      </x:c>
      <x:c r="P134" s="6" t="n">
        <x:v>3</x:v>
      </x:c>
      <x:c r="Q134" s="8" t="n">
        <x:v>0.8785521186</x:v>
      </x:c>
      <x:c r="R134" s="6" t="n">
        <x:f>IF(Q134&gt;=Scope!$B$9,1,0)</x:f>
        <x:v>1</x:v>
      </x:c>
      <x:c r="S134" s="8" t="n">
        <x:v>0.9308066146</x:v>
      </x:c>
      <x:c r="T134" s="6" t="n">
        <x:f>IF(S134&gt;=Scope!$B$9,1,0)</x:f>
        <x:v>1</x:v>
      </x:c>
      <x:c r="U134" s="8" t="n">
        <x:v>0.7853403141</x:v>
      </x:c>
      <x:c r="V134" s="6" t="n">
        <x:f>IF(U134&gt;=Scope!$B$9,1,0)</x:f>
        <x:v>1</x:v>
      </x:c>
      <x:c r="W134" s="8" t="n">
        <x:f>(F134-Q134)^2</x:f>
        <x:v>0.014749587896548455</x:v>
      </x:c>
      <x:c r="X134" s="8" t="n">
        <x:f>(F134-S134)^2</x:f>
        <x:v>0.00478772458311293</x:v>
      </x:c>
      <x:c r="Y134" s="8" t="n">
        <x:f>(F134-U134)^2</x:f>
        <x:v>0.04607878075068664</x:v>
      </x:c>
    </x:row>
    <x:row r="135" ht="28" customHeight="1">
      <x:c r="A135" s="4" t="str">
        <x:v>UCSD-PTGBM-0102_01</x:v>
      </x:c>
      <x:c r="B135" s="4" t="str">
        <x:v>UCSD-PTGBM-0102</x:v>
      </x:c>
      <x:c r="C135" s="4" t="str">
        <x:v>BraTS-GLI-02357-100</x:v>
      </x:c>
      <x:c r="D135" s="4" t="str">
        <x:v>BraTS-GLI-02357</x:v>
      </x:c>
      <x:c r="E135" s="4" t="str">
        <x:v>dualid:UCSD-PTGBM-0102</x:v>
      </x:c>
      <x:c r="F135" s="6" t="n">
        <x:v>1</x:v>
      </x:c>
      <x:c r="G135" s="4" t="str">
        <x:v>derived_from_published_243_equals_192_plus_51_partition</x:v>
      </x:c>
      <x:c r="H135" s="6" t="n">
        <x:v>79</x:v>
      </x:c>
      <x:c r="I135" s="6" t="n">
        <x:v>0</x:v>
      </x:c>
      <x:c r="J135" s="6" t="n">
        <x:v>0</x:v>
      </x:c>
      <x:c r="K135" s="4" t="str">
        <x:v>Unknown</x:v>
      </x:c>
      <x:c r="L135" s="6"/>
      <x:c r="M135" s="6"/>
      <x:c r="N135" s="6" t="n">
        <x:v>1</x:v>
      </x:c>
      <x:c r="O135" s="4" t="str">
        <x:v>Glioblastoma</x:v>
      </x:c>
      <x:c r="P135" s="6" t="n">
        <x:v>1</x:v>
      </x:c>
      <x:c r="Q135" s="8" t="n">
        <x:v>0.8345453679</x:v>
      </x:c>
      <x:c r="R135" s="6" t="n">
        <x:f>IF(Q135&gt;=Scope!$B$9,1,0)</x:f>
        <x:v>1</x:v>
      </x:c>
      <x:c r="S135" s="8" t="n">
        <x:v>0.8888701192</x:v>
      </x:c>
      <x:c r="T135" s="6" t="n">
        <x:f>IF(S135&gt;=Scope!$B$9,1,0)</x:f>
        <x:v>1</x:v>
      </x:c>
      <x:c r="U135" s="8" t="n">
        <x:v>0.7842105263</x:v>
      </x:c>
      <x:c r="V135" s="6" t="n">
        <x:f>IF(U135&gt;=Scope!$B$9,1,0)</x:f>
        <x:v>1</x:v>
      </x:c>
      <x:c r="W135" s="8" t="n">
        <x:f>(F135-Q135)^2</x:f>
        <x:v>0.02737523528334635</x:v>
      </x:c>
      <x:c r="X135" s="8" t="n">
        <x:f>(F135-S135)^2</x:f>
        <x:v>0.012349850406622202</x:v>
      </x:c>
      <x:c r="Y135" s="8" t="n">
        <x:f>(F135-U135)^2</x:f>
        <x:v>0.046565096959722996</x:v>
      </x:c>
    </x:row>
    <x:row r="136" ht="28" customHeight="1">
      <x:c r="A136" s="4" t="str">
        <x:v>UCSD-PTGBM-0103_01</x:v>
      </x:c>
      <x:c r="B136" s="4" t="str">
        <x:v>UCSD-PTGBM-0103</x:v>
      </x:c>
      <x:c r="C136" s="4" t="str">
        <x:v>BraTS-GLI-02358-100</x:v>
      </x:c>
      <x:c r="D136" s="4" t="str">
        <x:v>BraTS-GLI-02358</x:v>
      </x:c>
      <x:c r="E136" s="4" t="str">
        <x:v>dualid:UCSD-PTGBM-0103</x:v>
      </x:c>
      <x:c r="F136" s="6" t="n">
        <x:v>1</x:v>
      </x:c>
      <x:c r="G136" s="4" t="str">
        <x:v>derived_from_published_243_equals_192_plus_51_partition</x:v>
      </x:c>
      <x:c r="H136" s="6" t="n">
        <x:v>77</x:v>
      </x:c>
      <x:c r="I136" s="6" t="n">
        <x:v>0</x:v>
      </x:c>
      <x:c r="J136" s="6" t="n">
        <x:v>0</x:v>
      </x:c>
      <x:c r="K136" s="4" t="str">
        <x:v>Unknown</x:v>
      </x:c>
      <x:c r="L136" s="6"/>
      <x:c r="M136" s="6"/>
      <x:c r="N136" s="6" t="n">
        <x:v>1</x:v>
      </x:c>
      <x:c r="O136" s="4" t="str">
        <x:v>Glioblastoma</x:v>
      </x:c>
      <x:c r="P136" s="6" t="n">
        <x:v>5</x:v>
      </x:c>
      <x:c r="Q136" s="8" t="n">
        <x:v>0.8544701944</x:v>
      </x:c>
      <x:c r="R136" s="6" t="n">
        <x:f>IF(Q136&gt;=Scope!$B$9,1,0)</x:f>
        <x:v>1</x:v>
      </x:c>
      <x:c r="S136" s="8" t="n">
        <x:v>0.8913221578</x:v>
      </x:c>
      <x:c r="T136" s="6" t="n">
        <x:f>IF(S136&gt;=Scope!$B$9,1,0)</x:f>
        <x:v>1</x:v>
      </x:c>
      <x:c r="U136" s="8" t="n">
        <x:v>0.7853403141</x:v>
      </x:c>
      <x:c r="V136" s="6" t="n">
        <x:f>IF(U136&gt;=Scope!$B$9,1,0)</x:f>
        <x:v>1</x:v>
      </x:c>
      <x:c r="W136" s="8" t="n">
        <x:f>(F136-Q136)^2</x:f>
        <x:v>0.021178924317973778</x:v>
      </x:c>
      <x:c r="X136" s="8" t="n">
        <x:f>(F136-S136)^2</x:f>
        <x:v>0.011810873385248099</x:v>
      </x:c>
      <x:c r="Y136" s="8" t="n">
        <x:f>(F136-U136)^2</x:f>
        <x:v>0.04607878075068664</x:v>
      </x:c>
    </x:row>
    <x:row r="137" ht="28" customHeight="1">
      <x:c r="A137" s="4" t="str">
        <x:v>UCSD-PTGBM-0103_02</x:v>
      </x:c>
      <x:c r="B137" s="4" t="str">
        <x:v>UCSD-PTGBM-0103</x:v>
      </x:c>
      <x:c r="C137" s="4" t="str">
        <x:v>BraTS-GLI-02358-101</x:v>
      </x:c>
      <x:c r="D137" s="4" t="str">
        <x:v>BraTS-GLI-02358</x:v>
      </x:c>
      <x:c r="E137" s="4" t="str">
        <x:v>dualid:UCSD-PTGBM-0103</x:v>
      </x:c>
      <x:c r="F137" s="6" t="n">
        <x:v>1</x:v>
      </x:c>
      <x:c r="G137" s="4" t="str">
        <x:v>derived_from_published_243_equals_192_plus_51_partition</x:v>
      </x:c>
      <x:c r="H137" s="6" t="n">
        <x:v>77</x:v>
      </x:c>
      <x:c r="I137" s="6" t="n">
        <x:v>0</x:v>
      </x:c>
      <x:c r="J137" s="6" t="n">
        <x:v>0</x:v>
      </x:c>
      <x:c r="K137" s="4" t="str">
        <x:v>Unknown</x:v>
      </x:c>
      <x:c r="L137" s="6"/>
      <x:c r="M137" s="6"/>
      <x:c r="N137" s="6" t="n">
        <x:v>1</x:v>
      </x:c>
      <x:c r="O137" s="4" t="str">
        <x:v>Glioblastoma</x:v>
      </x:c>
      <x:c r="P137" s="6" t="n">
        <x:v>5</x:v>
      </x:c>
      <x:c r="Q137" s="8" t="n">
        <x:v>0.8544701944</x:v>
      </x:c>
      <x:c r="R137" s="6" t="n">
        <x:f>IF(Q137&gt;=Scope!$B$9,1,0)</x:f>
        <x:v>1</x:v>
      </x:c>
      <x:c r="S137" s="8" t="n">
        <x:v>0.8913221578</x:v>
      </x:c>
      <x:c r="T137" s="6" t="n">
        <x:f>IF(S137&gt;=Scope!$B$9,1,0)</x:f>
        <x:v>1</x:v>
      </x:c>
      <x:c r="U137" s="8" t="n">
        <x:v>0.7853403141</x:v>
      </x:c>
      <x:c r="V137" s="6" t="n">
        <x:f>IF(U137&gt;=Scope!$B$9,1,0)</x:f>
        <x:v>1</x:v>
      </x:c>
      <x:c r="W137" s="8" t="n">
        <x:f>(F137-Q137)^2</x:f>
        <x:v>0.021178924317973778</x:v>
      </x:c>
      <x:c r="X137" s="8" t="n">
        <x:f>(F137-S137)^2</x:f>
        <x:v>0.011810873385248099</x:v>
      </x:c>
      <x:c r="Y137" s="8" t="n">
        <x:f>(F137-U137)^2</x:f>
        <x:v>0.04607878075068664</x:v>
      </x:c>
    </x:row>
    <x:row r="138" ht="28" customHeight="1">
      <x:c r="A138" s="4" t="str">
        <x:v>UCSD-PTGBM-0104_01</x:v>
      </x:c>
      <x:c r="B138" s="4" t="str">
        <x:v>UCSD-PTGBM-0104</x:v>
      </x:c>
      <x:c r="C138" s="4" t="str">
        <x:v>BraTS-GLI-02359-100</x:v>
      </x:c>
      <x:c r="D138" s="4" t="str">
        <x:v>BraTS-GLI-02359</x:v>
      </x:c>
      <x:c r="E138" s="4" t="str">
        <x:v>dualid:UCSD-PTGBM-0104</x:v>
      </x:c>
      <x:c r="F138" s="6" t="n">
        <x:v>1</x:v>
      </x:c>
      <x:c r="G138" s="4" t="str">
        <x:v>derived_from_published_243_equals_192_plus_51_partition</x:v>
      </x:c>
      <x:c r="H138" s="6" t="n">
        <x:v>55</x:v>
      </x:c>
      <x:c r="I138" s="6" t="n">
        <x:v>1</x:v>
      </x:c>
      <x:c r="J138" s="6" t="n">
        <x:v>0</x:v>
      </x:c>
      <x:c r="K138" s="4" t="str">
        <x:v>-42</x:v>
      </x:c>
      <x:c r="L138" s="6" t="n">
        <x:v>42</x:v>
      </x:c>
      <x:c r="M138" s="6" t="n">
        <x:v>3.7612001157</x:v>
      </x:c>
      <x:c r="N138" s="6" t="n">
        <x:v>0</x:v>
      </x:c>
      <x:c r="O138" s="4" t="str">
        <x:v>Glioblastoma</x:v>
      </x:c>
      <x:c r="P138" s="6" t="n">
        <x:v>3</x:v>
      </x:c>
      <x:c r="Q138" s="8" t="n">
        <x:v>0.8057723824</x:v>
      </x:c>
      <x:c r="R138" s="6" t="n">
        <x:f>IF(Q138&gt;=Scope!$B$9,1,0)</x:f>
        <x:v>1</x:v>
      </x:c>
      <x:c r="S138" s="8" t="n">
        <x:v>0.8524016657</x:v>
      </x:c>
      <x:c r="T138" s="6" t="n">
        <x:f>IF(S138&gt;=Scope!$B$9,1,0)</x:f>
        <x:v>1</x:v>
      </x:c>
      <x:c r="U138" s="8" t="n">
        <x:v>0.7853403141</x:v>
      </x:c>
      <x:c r="V138" s="6" t="n">
        <x:f>IF(U138&gt;=Scope!$B$9,1,0)</x:f>
        <x:v>1</x:v>
      </x:c>
      <x:c r="W138" s="8" t="n">
        <x:f>(F138-Q138)^2</x:f>
        <x:v>0.03772436743857181</x:v>
      </x:c>
      <x:c r="X138" s="8" t="n">
        <x:f>(F138-S138)^2</x:f>
        <x:v>0.021785268288134565</x:v>
      </x:c>
      <x:c r="Y138" s="8" t="n">
        <x:f>(F138-U138)^2</x:f>
        <x:v>0.04607878075068664</x:v>
      </x:c>
    </x:row>
    <x:row r="139" ht="28" customHeight="1">
      <x:c r="A139" s="4" t="str">
        <x:v>UCSD-PTGBM-0105_01</x:v>
      </x:c>
      <x:c r="B139" s="4" t="str">
        <x:v>UCSD-PTGBM-0105</x:v>
      </x:c>
      <x:c r="C139" s="4" t="str">
        <x:v>BraTS-GLI-02360-100</x:v>
      </x:c>
      <x:c r="D139" s="4" t="str">
        <x:v>BraTS-GLI-02360</x:v>
      </x:c>
      <x:c r="E139" s="4" t="str">
        <x:v>dualid:UCSD-PTGBM-0105</x:v>
      </x:c>
      <x:c r="F139" s="6" t="n">
        <x:v>1</x:v>
      </x:c>
      <x:c r="G139" s="4" t="str">
        <x:v>derived_from_published_243_equals_192_plus_51_partition</x:v>
      </x:c>
      <x:c r="H139" s="6" t="n">
        <x:v>74</x:v>
      </x:c>
      <x:c r="I139" s="6" t="n">
        <x:v>1</x:v>
      </x:c>
      <x:c r="J139" s="6" t="n">
        <x:v>0</x:v>
      </x:c>
      <x:c r="K139" s="4" t="str">
        <x:v>-26</x:v>
      </x:c>
      <x:c r="L139" s="6" t="n">
        <x:v>26</x:v>
      </x:c>
      <x:c r="M139" s="6" t="n">
        <x:v>3.295836866</x:v>
      </x:c>
      <x:c r="N139" s="6" t="n">
        <x:v>0</x:v>
      </x:c>
      <x:c r="O139" s="4" t="str">
        <x:v>Glioblastoma</x:v>
      </x:c>
      <x:c r="P139" s="6" t="n">
        <x:v>4</x:v>
      </x:c>
      <x:c r="Q139" s="8" t="n">
        <x:v>0.8937126646</x:v>
      </x:c>
      <x:c r="R139" s="6" t="n">
        <x:f>IF(Q139&gt;=Scope!$B$9,1,0)</x:f>
        <x:v>1</x:v>
      </x:c>
      <x:c r="S139" s="8" t="n">
        <x:v>0.9379208277</x:v>
      </x:c>
      <x:c r="T139" s="6" t="n">
        <x:f>IF(S139&gt;=Scope!$B$9,1,0)</x:f>
        <x:v>1</x:v>
      </x:c>
      <x:c r="U139" s="8" t="n">
        <x:v>0.7853403141</x:v>
      </x:c>
      <x:c r="V139" s="6" t="n">
        <x:f>IF(U139&gt;=Scope!$B$9,1,0)</x:f>
        <x:v>1</x:v>
      </x:c>
      <x:c r="W139" s="8" t="n">
        <x:f>(F139-Q139)^2</x:f>
        <x:v>0.011296997666432097</x:v>
      </x:c>
      <x:c r="X139" s="8" t="n">
        <x:f>(F139-S139)^2</x:f>
        <x:v>0.003853823633453092</x:v>
      </x:c>
      <x:c r="Y139" s="8" t="n">
        <x:f>(F139-U139)^2</x:f>
        <x:v>0.04607878075068664</x:v>
      </x:c>
    </x:row>
    <x:row r="140" ht="28" customHeight="1">
      <x:c r="A140" s="4" t="str">
        <x:v>UCSD-PTGBM-0106_01</x:v>
      </x:c>
      <x:c r="B140" s="4" t="str">
        <x:v>UCSD-PTGBM-0106</x:v>
      </x:c>
      <x:c r="C140" s="4" t="str">
        <x:v>BraTS-GLI-02361-100</x:v>
      </x:c>
      <x:c r="D140" s="4" t="str">
        <x:v>BraTS-GLI-02361</x:v>
      </x:c>
      <x:c r="E140" s="4" t="str">
        <x:v>dualid:UCSD-PTGBM-0106</x:v>
      </x:c>
      <x:c r="F140" s="6" t="n">
        <x:v>1</x:v>
      </x:c>
      <x:c r="G140" s="4" t="str">
        <x:v>derived_from_published_243_equals_192_plus_51_partition</x:v>
      </x:c>
      <x:c r="H140" s="6" t="n">
        <x:v>56</x:v>
      </x:c>
      <x:c r="I140" s="6" t="n">
        <x:v>1</x:v>
      </x:c>
      <x:c r="J140" s="6" t="n">
        <x:v>0</x:v>
      </x:c>
      <x:c r="K140" s="4" t="str">
        <x:v>-33</x:v>
      </x:c>
      <x:c r="L140" s="6" t="n">
        <x:v>33</x:v>
      </x:c>
      <x:c r="M140" s="6" t="n">
        <x:v>3.5263605246</x:v>
      </x:c>
      <x:c r="N140" s="6" t="n">
        <x:v>0</x:v>
      </x:c>
      <x:c r="O140" s="4" t="str">
        <x:v>Glioblastoma</x:v>
      </x:c>
      <x:c r="P140" s="6" t="n">
        <x:v>4</x:v>
      </x:c>
      <x:c r="Q140" s="8" t="n">
        <x:v>0.82148339</x:v>
      </x:c>
      <x:c r="R140" s="6" t="n">
        <x:f>IF(Q140&gt;=Scope!$B$9,1,0)</x:f>
        <x:v>1</x:v>
      </x:c>
      <x:c r="S140" s="8" t="n">
        <x:v>0.8997600439</x:v>
      </x:c>
      <x:c r="T140" s="6" t="n">
        <x:f>IF(S140&gt;=Scope!$B$9,1,0)</x:f>
        <x:v>1</x:v>
      </x:c>
      <x:c r="U140" s="8" t="n">
        <x:v>0.7853403141</x:v>
      </x:c>
      <x:c r="V140" s="6" t="n">
        <x:f>IF(U140&gt;=Scope!$B$9,1,0)</x:f>
        <x:v>1</x:v>
      </x:c>
      <x:c r="W140" s="8" t="n">
        <x:f>(F140-Q140)^2</x:f>
        <x:v>0.031868180045892085</x:v>
      </x:c>
      <x:c r="X140" s="8" t="n">
        <x:f>(F140-S140)^2</x:f>
        <x:v>0.010048048798929933</x:v>
      </x:c>
      <x:c r="Y140" s="8" t="n">
        <x:f>(F140-U140)^2</x:f>
        <x:v>0.04607878075068664</x:v>
      </x:c>
    </x:row>
    <x:row r="141" ht="28" customHeight="1">
      <x:c r="A141" s="4" t="str">
        <x:v>UCSD-PTGBM-0107_01</x:v>
      </x:c>
      <x:c r="B141" s="4" t="str">
        <x:v>UCSD-PTGBM-0107</x:v>
      </x:c>
      <x:c r="C141" s="4" t="str">
        <x:v>BraTS-GLI-02362-100</x:v>
      </x:c>
      <x:c r="D141" s="4" t="str">
        <x:v>BraTS-GLI-02362</x:v>
      </x:c>
      <x:c r="E141" s="4" t="str">
        <x:v>dualid:UCSD-PTGBM-0107</x:v>
      </x:c>
      <x:c r="F141" s="6" t="n">
        <x:v>1</x:v>
      </x:c>
      <x:c r="G141" s="4" t="str">
        <x:v>derived_from_published_243_equals_192_plus_51_partition</x:v>
      </x:c>
      <x:c r="H141" s="6" t="n">
        <x:v>76</x:v>
      </x:c>
      <x:c r="I141" s="6" t="n">
        <x:v>1</x:v>
      </x:c>
      <x:c r="J141" s="6" t="n">
        <x:v>0</x:v>
      </x:c>
      <x:c r="K141" s="4" t="str">
        <x:v>-52</x:v>
      </x:c>
      <x:c r="L141" s="6" t="n">
        <x:v>52</x:v>
      </x:c>
      <x:c r="M141" s="6" t="n">
        <x:v>3.9702919136</x:v>
      </x:c>
      <x:c r="N141" s="6" t="n">
        <x:v>0</x:v>
      </x:c>
      <x:c r="O141" s="4" t="str">
        <x:v>Glioblastoma</x:v>
      </x:c>
      <x:c r="P141" s="6" t="n">
        <x:v>5</x:v>
      </x:c>
      <x:c r="Q141" s="8" t="n">
        <x:v>0.894372445</x:v>
      </x:c>
      <x:c r="R141" s="6" t="n">
        <x:f>IF(Q141&gt;=Scope!$B$9,1,0)</x:f>
        <x:v>1</x:v>
      </x:c>
      <x:c r="S141" s="8" t="n">
        <x:v>0.89165417</x:v>
      </x:c>
      <x:c r="T141" s="6" t="n">
        <x:f>IF(S141&gt;=Scope!$B$9,1,0)</x:f>
        <x:v>1</x:v>
      </x:c>
      <x:c r="U141" s="8" t="n">
        <x:v>0.7853403141</x:v>
      </x:c>
      <x:c r="V141" s="6" t="n">
        <x:f>IF(U141&gt;=Scope!$B$9,1,0)</x:f>
        <x:v>1</x:v>
      </x:c>
      <x:c r="W141" s="8" t="n">
        <x:f>(F141-Q141)^2</x:f>
        <x:v>0.011157180375278021</x:v>
      </x:c>
      <x:c r="X141" s="8" t="n">
        <x:f>(F141-S141)^2</x:f>
        <x:v>0.011738818878388894</x:v>
      </x:c>
      <x:c r="Y141" s="8" t="n">
        <x:f>(F141-U141)^2</x:f>
        <x:v>0.04607878075068664</x:v>
      </x:c>
    </x:row>
    <x:row r="142" ht="28" customHeight="1">
      <x:c r="A142" s="4" t="str">
        <x:v>UCSD-PTGBM-0108_01</x:v>
      </x:c>
      <x:c r="B142" s="4" t="str">
        <x:v>UCSD-PTGBM-0108</x:v>
      </x:c>
      <x:c r="C142" s="4" t="str">
        <x:v>BraTS-GLI-02363-100</x:v>
      </x:c>
      <x:c r="D142" s="4" t="str">
        <x:v>BraTS-GLI-02363</x:v>
      </x:c>
      <x:c r="E142" s="4" t="str">
        <x:v>dualid:UCSD-PTGBM-0108</x:v>
      </x:c>
      <x:c r="F142" s="6" t="n">
        <x:v>1</x:v>
      </x:c>
      <x:c r="G142" s="4" t="str">
        <x:v>derived_from_published_243_equals_192_plus_51_partition</x:v>
      </x:c>
      <x:c r="H142" s="6" t="n">
        <x:v>41</x:v>
      </x:c>
      <x:c r="I142" s="6" t="n">
        <x:v>1</x:v>
      </x:c>
      <x:c r="J142" s="6" t="n">
        <x:v>0</x:v>
      </x:c>
      <x:c r="K142" s="4" t="str">
        <x:v>-35</x:v>
      </x:c>
      <x:c r="L142" s="6" t="n">
        <x:v>35</x:v>
      </x:c>
      <x:c r="M142" s="6" t="n">
        <x:v>3.5835189385</x:v>
      </x:c>
      <x:c r="N142" s="6" t="n">
        <x:v>0</x:v>
      </x:c>
      <x:c r="O142" s="4" t="str">
        <x:v>Glioblastoma</x:v>
      </x:c>
      <x:c r="P142" s="6" t="n">
        <x:v>2</x:v>
      </x:c>
      <x:c r="Q142" s="8" t="n">
        <x:v>0.7431794438</x:v>
      </x:c>
      <x:c r="R142" s="6" t="n">
        <x:f>IF(Q142&gt;=Scope!$B$9,1,0)</x:f>
        <x:v>1</x:v>
      </x:c>
      <x:c r="S142" s="8" t="n">
        <x:v>0.8077596661</x:v>
      </x:c>
      <x:c r="T142" s="6" t="n">
        <x:f>IF(S142&gt;=Scope!$B$9,1,0)</x:f>
        <x:v>1</x:v>
      </x:c>
      <x:c r="U142" s="8" t="n">
        <x:v>0.7883597884</x:v>
      </x:c>
      <x:c r="V142" s="6" t="n">
        <x:f>IF(U142&gt;=Scope!$B$9,1,0)</x:f>
        <x:v>1</x:v>
      </x:c>
      <x:c r="W142" s="8" t="n">
        <x:f>(F142-Q142)^2</x:f>
        <x:v>0.06595679808687735</x:v>
      </x:c>
      <x:c r="X142" s="8" t="n">
        <x:f>(F142-S142)^2</x:f>
        <x:v>0.03695634597798347</x:v>
      </x:c>
      <x:c r="Y142" s="8" t="n">
        <x:f>(F142-U142)^2</x:f>
        <x:v>0.04479157916609278</x:v>
      </x:c>
    </x:row>
    <x:row r="143" ht="28" customHeight="1">
      <x:c r="A143" s="4" t="str">
        <x:v>UCSD-PTGBM-0109_01</x:v>
      </x:c>
      <x:c r="B143" s="4" t="str">
        <x:v>UCSD-PTGBM-0109</x:v>
      </x:c>
      <x:c r="C143" s="4" t="str">
        <x:v>BraTS-GLI-02364-100</x:v>
      </x:c>
      <x:c r="D143" s="4" t="str">
        <x:v>BraTS-GLI-02364</x:v>
      </x:c>
      <x:c r="E143" s="4" t="str">
        <x:v>dualid:UCSD-PTGBM-0109</x:v>
      </x:c>
      <x:c r="F143" s="6" t="n">
        <x:v>1</x:v>
      </x:c>
      <x:c r="G143" s="4" t="str">
        <x:v>derived_from_published_243_equals_192_plus_51_partition</x:v>
      </x:c>
      <x:c r="H143" s="6" t="n">
        <x:v>62</x:v>
      </x:c>
      <x:c r="I143" s="6" t="n">
        <x:v>1</x:v>
      </x:c>
      <x:c r="J143" s="6" t="n">
        <x:v>0</x:v>
      </x:c>
      <x:c r="K143" s="4" t="str">
        <x:v>-17</x:v>
      </x:c>
      <x:c r="L143" s="6" t="n">
        <x:v>17</x:v>
      </x:c>
      <x:c r="M143" s="6" t="n">
        <x:v>2.8903717579</x:v>
      </x:c>
      <x:c r="N143" s="6" t="n">
        <x:v>0</x:v>
      </x:c>
      <x:c r="O143" s="4" t="str">
        <x:v>Glioblastoma</x:v>
      </x:c>
      <x:c r="P143" s="6" t="n">
        <x:v>4</x:v>
      </x:c>
      <x:c r="Q143" s="8" t="n">
        <x:v>0.8490752062</x:v>
      </x:c>
      <x:c r="R143" s="6" t="n">
        <x:f>IF(Q143&gt;=Scope!$B$9,1,0)</x:f>
        <x:v>1</x:v>
      </x:c>
      <x:c r="S143" s="8" t="n">
        <x:v>0.9370226018</x:v>
      </x:c>
      <x:c r="T143" s="6" t="n">
        <x:f>IF(S143&gt;=Scope!$B$9,1,0)</x:f>
        <x:v>1</x:v>
      </x:c>
      <x:c r="U143" s="8" t="n">
        <x:v>0.7853403141</x:v>
      </x:c>
      <x:c r="V143" s="6" t="n">
        <x:f>IF(U143&gt;=Scope!$B$9,1,0)</x:f>
        <x:v>1</x:v>
      </x:c>
      <x:c r="W143" s="8" t="n">
        <x:f>(F143-Q143)^2</x:f>
        <x:v>0.022778293383572523</x:v>
      </x:c>
      <x:c r="X143" s="8" t="n">
        <x:f>(F143-S143)^2</x:f>
        <x:v>0.0039661526840413675</x:v>
      </x:c>
      <x:c r="Y143" s="8" t="n">
        <x:f>(F143-U143)^2</x:f>
        <x:v>0.04607878075068664</x:v>
      </x:c>
    </x:row>
    <x:row r="144" ht="28" customHeight="1">
      <x:c r="A144" s="4" t="str">
        <x:v>UCSD-PTGBM-0109_02</x:v>
      </x:c>
      <x:c r="B144" s="4" t="str">
        <x:v>UCSD-PTGBM-0109</x:v>
      </x:c>
      <x:c r="C144" s="4" t="str">
        <x:v>BraTS-GLI-02364-101</x:v>
      </x:c>
      <x:c r="D144" s="4" t="str">
        <x:v>BraTS-GLI-02364</x:v>
      </x:c>
      <x:c r="E144" s="4" t="str">
        <x:v>dualid:UCSD-PTGBM-0109</x:v>
      </x:c>
      <x:c r="F144" s="6" t="n">
        <x:v>1</x:v>
      </x:c>
      <x:c r="G144" s="4" t="str">
        <x:v>derived_from_published_243_equals_192_plus_51_partition</x:v>
      </x:c>
      <x:c r="H144" s="6" t="n">
        <x:v>62</x:v>
      </x:c>
      <x:c r="I144" s="6" t="n">
        <x:v>1</x:v>
      </x:c>
      <x:c r="J144" s="6" t="n">
        <x:v>1</x:v>
      </x:c>
      <x:c r="K144" s="4" t="str">
        <x:v>-90</x:v>
      </x:c>
      <x:c r="L144" s="6" t="n">
        <x:v>90</x:v>
      </x:c>
      <x:c r="M144" s="6" t="n">
        <x:v>4.5108595065</x:v>
      </x:c>
      <x:c r="N144" s="6" t="n">
        <x:v>0</x:v>
      </x:c>
      <x:c r="O144" s="4" t="str">
        <x:v>Glioblastoma</x:v>
      </x:c>
      <x:c r="P144" s="6" t="n">
        <x:v>4</x:v>
      </x:c>
      <x:c r="Q144" s="8" t="n">
        <x:v>0.8490752062</x:v>
      </x:c>
      <x:c r="R144" s="6" t="n">
        <x:f>IF(Q144&gt;=Scope!$B$9,1,0)</x:f>
        <x:v>1</x:v>
      </x:c>
      <x:c r="S144" s="8" t="n">
        <x:v>0.893017193</x:v>
      </x:c>
      <x:c r="T144" s="6" t="n">
        <x:f>IF(S144&gt;=Scope!$B$9,1,0)</x:f>
        <x:v>1</x:v>
      </x:c>
      <x:c r="U144" s="8" t="n">
        <x:v>0.7853403141</x:v>
      </x:c>
      <x:c r="V144" s="6" t="n">
        <x:f>IF(U144&gt;=Scope!$B$9,1,0)</x:f>
        <x:v>1</x:v>
      </x:c>
      <x:c r="W144" s="8" t="n">
        <x:f>(F144-Q144)^2</x:f>
        <x:v>0.022778293383572523</x:v>
      </x:c>
      <x:c r="X144" s="8" t="n">
        <x:f>(F144-S144)^2</x:f>
        <x:v>0.01144532099359924</x:v>
      </x:c>
      <x:c r="Y144" s="8" t="n">
        <x:f>(F144-U144)^2</x:f>
        <x:v>0.04607878075068664</x:v>
      </x:c>
    </x:row>
    <x:row r="145" ht="28" customHeight="1">
      <x:c r="A145" s="4" t="str">
        <x:v>UCSD-PTGBM-0110_01</x:v>
      </x:c>
      <x:c r="B145" s="4" t="str">
        <x:v>UCSD-PTGBM-0110</x:v>
      </x:c>
      <x:c r="C145" s="4" t="str">
        <x:v>BraTS-GLI-02365-100</x:v>
      </x:c>
      <x:c r="D145" s="4" t="str">
        <x:v>BraTS-GLI-02365</x:v>
      </x:c>
      <x:c r="E145" s="4" t="str">
        <x:v>dualid:UCSD-PTGBM-0110</x:v>
      </x:c>
      <x:c r="F145" s="6" t="n">
        <x:v>1</x:v>
      </x:c>
      <x:c r="G145" s="4" t="str">
        <x:v>derived_from_published_243_equals_192_plus_51_partition</x:v>
      </x:c>
      <x:c r="H145" s="6" t="n">
        <x:v>57</x:v>
      </x:c>
      <x:c r="I145" s="6" t="n">
        <x:v>1</x:v>
      </x:c>
      <x:c r="J145" s="6" t="n">
        <x:v>0</x:v>
      </x:c>
      <x:c r="K145" s="4" t="str">
        <x:v>Unknown</x:v>
      </x:c>
      <x:c r="L145" s="6"/>
      <x:c r="M145" s="6"/>
      <x:c r="N145" s="6" t="n">
        <x:v>1</x:v>
      </x:c>
      <x:c r="O145" s="4" t="str">
        <x:v>Glioblastoma</x:v>
      </x:c>
      <x:c r="P145" s="6" t="n">
        <x:v>2</x:v>
      </x:c>
      <x:c r="Q145" s="8" t="n">
        <x:v>0.8168351642</x:v>
      </x:c>
      <x:c r="R145" s="6" t="n">
        <x:f>IF(Q145&gt;=Scope!$B$9,1,0)</x:f>
        <x:v>1</x:v>
      </x:c>
      <x:c r="S145" s="8" t="n">
        <x:v>0.8926846463</x:v>
      </x:c>
      <x:c r="T145" s="6" t="n">
        <x:f>IF(S145&gt;=Scope!$B$9,1,0)</x:f>
        <x:v>1</x:v>
      </x:c>
      <x:c r="U145" s="8" t="n">
        <x:v>0.7883597884</x:v>
      </x:c>
      <x:c r="V145" s="6" t="n">
        <x:f>IF(U145&gt;=Scope!$B$9,1,0)</x:f>
        <x:v>1</x:v>
      </x:c>
      <x:c r="W145" s="8" t="n">
        <x:f>(F145-Q145)^2</x:f>
        <x:v>0.033549357073640956</x:v>
      </x:c>
      <x:c r="X145" s="8" t="n">
        <x:f>(F145-S145)^2</x:f>
        <x:v>0.011516585139756105</x:v>
      </x:c>
      <x:c r="Y145" s="8" t="n">
        <x:f>(F145-U145)^2</x:f>
        <x:v>0.04479157916609278</x:v>
      </x:c>
    </x:row>
    <x:row r="146" ht="28" customHeight="1">
      <x:c r="A146" s="4" t="str">
        <x:v>UCSD-PTGBM-0111_01</x:v>
      </x:c>
      <x:c r="B146" s="4" t="str">
        <x:v>UCSD-PTGBM-0111</x:v>
      </x:c>
      <x:c r="C146" s="4" t="str">
        <x:v>BraTS-GLI-02366-100</x:v>
      </x:c>
      <x:c r="D146" s="4" t="str">
        <x:v>BraTS-GLI-02366</x:v>
      </x:c>
      <x:c r="E146" s="4" t="str">
        <x:v>dualid:UCSD-PTGBM-0111</x:v>
      </x:c>
      <x:c r="F146" s="6" t="n">
        <x:v>1</x:v>
      </x:c>
      <x:c r="G146" s="4" t="str">
        <x:v>derived_from_published_243_equals_192_plus_51_partition</x:v>
      </x:c>
      <x:c r="H146" s="6" t="n">
        <x:v>57</x:v>
      </x:c>
      <x:c r="I146" s="6" t="n">
        <x:v>1</x:v>
      </x:c>
      <x:c r="J146" s="6" t="n">
        <x:v>0</x:v>
      </x:c>
      <x:c r="K146" s="4" t="str">
        <x:v>-25</x:v>
      </x:c>
      <x:c r="L146" s="6" t="n">
        <x:v>25</x:v>
      </x:c>
      <x:c r="M146" s="6" t="n">
        <x:v>3.258096538</x:v>
      </x:c>
      <x:c r="N146" s="6" t="n">
        <x:v>0</x:v>
      </x:c>
      <x:c r="O146" s="4" t="str">
        <x:v>Glioblastoma</x:v>
      </x:c>
      <x:c r="P146" s="6" t="n">
        <x:v>4</x:v>
      </x:c>
      <x:c r="Q146" s="8" t="n">
        <x:v>0.8263417882</x:v>
      </x:c>
      <x:c r="R146" s="6" t="n">
        <x:f>IF(Q146&gt;=Scope!$B$9,1,0)</x:f>
        <x:v>1</x:v>
      </x:c>
      <x:c r="S146" s="8" t="n">
        <x:v>0.9149072112</x:v>
      </x:c>
      <x:c r="T146" s="6" t="n">
        <x:f>IF(S146&gt;=Scope!$B$9,1,0)</x:f>
        <x:v>1</x:v>
      </x:c>
      <x:c r="U146" s="8" t="n">
        <x:v>0.7853403141</x:v>
      </x:c>
      <x:c r="V146" s="6" t="n">
        <x:f>IF(U146&gt;=Scope!$B$9,1,0)</x:f>
        <x:v>1</x:v>
      </x:c>
      <x:c r="W146" s="8" t="n">
        <x:f>(F146-Q146)^2</x:f>
        <x:v>0.030157174525573646</x:v>
      </x:c>
      <x:c r="X146" s="8" t="n">
        <x:f>(F146-S146)^2</x:f>
        <x:v>0.007240782705761412</x:v>
      </x:c>
      <x:c r="Y146" s="8" t="n">
        <x:f>(F146-U146)^2</x:f>
        <x:v>0.04607878075068664</x:v>
      </x:c>
    </x:row>
    <x:row r="147" ht="28" customHeight="1">
      <x:c r="A147" s="4" t="str">
        <x:v>UCSD-PTGBM-0112_01</x:v>
      </x:c>
      <x:c r="B147" s="4" t="str">
        <x:v>UCSD-PTGBM-0112</x:v>
      </x:c>
      <x:c r="C147" s="4" t="str">
        <x:v>BraTS-GLI-02367-100</x:v>
      </x:c>
      <x:c r="D147" s="4" t="str">
        <x:v>BraTS-GLI-02367</x:v>
      </x:c>
      <x:c r="E147" s="4" t="str">
        <x:v>dualid:UCSD-PTGBM-0112</x:v>
      </x:c>
      <x:c r="F147" s="6" t="n">
        <x:v>1</x:v>
      </x:c>
      <x:c r="G147" s="4" t="str">
        <x:v>derived_from_published_243_equals_192_plus_51_partition</x:v>
      </x:c>
      <x:c r="H147" s="6" t="n">
        <x:v>61</x:v>
      </x:c>
      <x:c r="I147" s="6" t="n">
        <x:v>1</x:v>
      </x:c>
      <x:c r="J147" s="6" t="n">
        <x:v>0</x:v>
      </x:c>
      <x:c r="K147" s="4" t="str">
        <x:v>-33</x:v>
      </x:c>
      <x:c r="L147" s="6" t="n">
        <x:v>33</x:v>
      </x:c>
      <x:c r="M147" s="6" t="n">
        <x:v>3.5263605246</x:v>
      </x:c>
      <x:c r="N147" s="6" t="n">
        <x:v>0</x:v>
      </x:c>
      <x:c r="O147" s="4" t="str">
        <x:v>Glioblastoma</x:v>
      </x:c>
      <x:c r="P147" s="6" t="n">
        <x:v>2</x:v>
      </x:c>
      <x:c r="Q147" s="8" t="n">
        <x:v>0.8324614662</x:v>
      </x:c>
      <x:c r="R147" s="6" t="n">
        <x:f>IF(Q147&gt;=Scope!$B$9,1,0)</x:f>
        <x:v>1</x:v>
      </x:c>
      <x:c r="S147" s="8" t="n">
        <x:v>0.862340645</x:v>
      </x:c>
      <x:c r="T147" s="6" t="n">
        <x:f>IF(S147&gt;=Scope!$B$9,1,0)</x:f>
        <x:v>1</x:v>
      </x:c>
      <x:c r="U147" s="8" t="n">
        <x:v>0.7883597884</x:v>
      </x:c>
      <x:c r="V147" s="6" t="n">
        <x:f>IF(U147&gt;=Scope!$B$9,1,0)</x:f>
        <x:v>1</x:v>
      </x:c>
      <x:c r="W147" s="8" t="n">
        <x:f>(F147-Q147)^2</x:f>
        <x:v>0.028069160307853724</x:v>
      </x:c>
      <x:c r="X147" s="8" t="n">
        <x:f>(F147-S147)^2</x:f>
        <x:v>0.018950098019016037</x:v>
      </x:c>
      <x:c r="Y147" s="8" t="n">
        <x:f>(F147-U147)^2</x:f>
        <x:v>0.04479157916609278</x:v>
      </x:c>
    </x:row>
    <x:row r="148" ht="28" customHeight="1">
      <x:c r="A148" s="4" t="str">
        <x:v>UCSD-PTGBM-0113_01</x:v>
      </x:c>
      <x:c r="B148" s="4" t="str">
        <x:v>UCSD-PTGBM-0113</x:v>
      </x:c>
      <x:c r="C148" s="4" t="str">
        <x:v>BraTS-GLI-02368-100</x:v>
      </x:c>
      <x:c r="D148" s="4" t="str">
        <x:v>BraTS-GLI-02368</x:v>
      </x:c>
      <x:c r="E148" s="4" t="str">
        <x:v>dualid:UCSD-PTGBM-0113</x:v>
      </x:c>
      <x:c r="F148" s="6" t="n">
        <x:v>1</x:v>
      </x:c>
      <x:c r="G148" s="4" t="str">
        <x:v>derived_from_published_243_equals_192_plus_51_partition</x:v>
      </x:c>
      <x:c r="H148" s="6" t="n">
        <x:v>70</x:v>
      </x:c>
      <x:c r="I148" s="6" t="n">
        <x:v>1</x:v>
      </x:c>
      <x:c r="J148" s="6" t="n">
        <x:v>0</x:v>
      </x:c>
      <x:c r="K148" s="4" t="str">
        <x:v>-91</x:v>
      </x:c>
      <x:c r="L148" s="6" t="n">
        <x:v>91</x:v>
      </x:c>
      <x:c r="M148" s="6" t="n">
        <x:v>4.521788577</x:v>
      </x:c>
      <x:c r="N148" s="6" t="n">
        <x:v>0</x:v>
      </x:c>
      <x:c r="O148" s="4" t="str">
        <x:v>Glioblastoma</x:v>
      </x:c>
      <x:c r="P148" s="6" t="n">
        <x:v>1</x:v>
      </x:c>
      <x:c r="Q148" s="8" t="n">
        <x:v>0.8688953453</x:v>
      </x:c>
      <x:c r="R148" s="6" t="n">
        <x:f>IF(Q148&gt;=Scope!$B$9,1,0)</x:f>
        <x:v>1</x:v>
      </x:c>
      <x:c r="S148" s="8" t="n">
        <x:v>0.8344923419</x:v>
      </x:c>
      <x:c r="T148" s="6" t="n">
        <x:f>IF(S148&gt;=Scope!$B$9,1,0)</x:f>
        <x:v>1</x:v>
      </x:c>
      <x:c r="U148" s="8" t="n">
        <x:v>0.7842105263</x:v>
      </x:c>
      <x:c r="V148" s="6" t="n">
        <x:f>IF(U148&gt;=Scope!$B$9,1,0)</x:f>
        <x:v>1</x:v>
      </x:c>
      <x:c r="W148" s="8" t="n">
        <x:f>(F148-Q148)^2</x:f>
        <x:v>0.01718843048400623</x:v>
      </x:c>
      <x:c r="X148" s="8" t="n">
        <x:f>(F148-S148)^2</x:f>
        <x:v>0.0273927848897465</x:v>
      </x:c>
      <x:c r="Y148" s="8" t="n">
        <x:f>(F148-U148)^2</x:f>
        <x:v>0.046565096959722996</x:v>
      </x:c>
    </x:row>
    <x:row r="149" ht="28" customHeight="1">
      <x:c r="A149" s="4" t="str">
        <x:v>UCSD-PTGBM-0114_01</x:v>
      </x:c>
      <x:c r="B149" s="4" t="str">
        <x:v>UCSD-PTGBM-0114</x:v>
      </x:c>
      <x:c r="C149" s="4" t="str">
        <x:v>BraTS-GLI-02369-100</x:v>
      </x:c>
      <x:c r="D149" s="4" t="str">
        <x:v>BraTS-GLI-02369</x:v>
      </x:c>
      <x:c r="E149" s="4" t="str">
        <x:v>dualid:UCSD-PTGBM-0114</x:v>
      </x:c>
      <x:c r="F149" s="6" t="n">
        <x:v>1</x:v>
      </x:c>
      <x:c r="G149" s="4" t="str">
        <x:v>derived_from_published_243_equals_192_plus_51_partition</x:v>
      </x:c>
      <x:c r="H149" s="6" t="n">
        <x:v>61</x:v>
      </x:c>
      <x:c r="I149" s="6" t="n">
        <x:v>1</x:v>
      </x:c>
      <x:c r="J149" s="6" t="n">
        <x:v>0</x:v>
      </x:c>
      <x:c r="K149" s="4" t="str">
        <x:v>-21</x:v>
      </x:c>
      <x:c r="L149" s="6" t="n">
        <x:v>21</x:v>
      </x:c>
      <x:c r="M149" s="6" t="n">
        <x:v>3.0910424534</x:v>
      </x:c>
      <x:c r="N149" s="6" t="n">
        <x:v>0</x:v>
      </x:c>
      <x:c r="O149" s="4" t="str">
        <x:v>Glioblastoma</x:v>
      </x:c>
      <x:c r="P149" s="6" t="n">
        <x:v>3</x:v>
      </x:c>
      <x:c r="Q149" s="8" t="n">
        <x:v>0.829961819</x:v>
      </x:c>
      <x:c r="R149" s="6" t="n">
        <x:f>IF(Q149&gt;=Scope!$B$9,1,0)</x:f>
        <x:v>1</x:v>
      </x:c>
      <x:c r="S149" s="8" t="n">
        <x:v>0.8989338454</x:v>
      </x:c>
      <x:c r="T149" s="6" t="n">
        <x:f>IF(S149&gt;=Scope!$B$9,1,0)</x:f>
        <x:v>1</x:v>
      </x:c>
      <x:c r="U149" s="8" t="n">
        <x:v>0.7853403141</x:v>
      </x:c>
      <x:c r="V149" s="6" t="n">
        <x:f>IF(U149&gt;=Scope!$B$9,1,0)</x:f>
        <x:v>1</x:v>
      </x:c>
      <x:c r="W149" s="8" t="n">
        <x:f>(F149-Q149)^2</x:f>
        <x:v>0.028912982997788765</x:v>
      </x:c>
      <x:c r="X149" s="8" t="n">
        <x:f>(F149-S149)^2</x:f>
        <x:v>0.010214367605631105</x:v>
      </x:c>
      <x:c r="Y149" s="8" t="n">
        <x:f>(F149-U149)^2</x:f>
        <x:v>0.04607878075068664</x:v>
      </x:c>
    </x:row>
    <x:row r="150" ht="28" customHeight="1">
      <x:c r="A150" s="4" t="str">
        <x:v>UCSD-PTGBM-0115_01</x:v>
      </x:c>
      <x:c r="B150" s="4" t="str">
        <x:v>UCSD-PTGBM-0115</x:v>
      </x:c>
      <x:c r="C150" s="4" t="str">
        <x:v>BraTS-GLI-02370-100</x:v>
      </x:c>
      <x:c r="D150" s="4" t="str">
        <x:v>BraTS-GLI-02370</x:v>
      </x:c>
      <x:c r="E150" s="4" t="str">
        <x:v>dualid:UCSD-PTGBM-0115</x:v>
      </x:c>
      <x:c r="F150" s="6" t="n">
        <x:v>0</x:v>
      </x:c>
      <x:c r="G150" s="4" t="str">
        <x:v>explicit_negative_case_list</x:v>
      </x:c>
      <x:c r="H150" s="6" t="n">
        <x:v>51</x:v>
      </x:c>
      <x:c r="I150" s="6" t="n">
        <x:v>1</x:v>
      </x:c>
      <x:c r="J150" s="6" t="n">
        <x:v>0</x:v>
      </x:c>
      <x:c r="K150" s="4" t="str">
        <x:v>-49</x:v>
      </x:c>
      <x:c r="L150" s="6" t="n">
        <x:v>49</x:v>
      </x:c>
      <x:c r="M150" s="6" t="n">
        <x:v>3.9120230054</x:v>
      </x:c>
      <x:c r="N150" s="6" t="n">
        <x:v>0</x:v>
      </x:c>
      <x:c r="O150" s="4" t="str">
        <x:v>Glioblastoma</x:v>
      </x:c>
      <x:c r="P150" s="6" t="n">
        <x:v>3</x:v>
      </x:c>
      <x:c r="Q150" s="8" t="n">
        <x:v>0.7882451274</x:v>
      </x:c>
      <x:c r="R150" s="6" t="n">
        <x:f>IF(Q150&gt;=Scope!$B$9,1,0)</x:f>
        <x:v>1</x:v>
      </x:c>
      <x:c r="S150" s="8" t="n">
        <x:v>0.834584808</x:v>
      </x:c>
      <x:c r="T150" s="6" t="n">
        <x:f>IF(S150&gt;=Scope!$B$9,1,0)</x:f>
        <x:v>1</x:v>
      </x:c>
      <x:c r="U150" s="8" t="n">
        <x:v>0.7853403141</x:v>
      </x:c>
      <x:c r="V150" s="6" t="n">
        <x:f>IF(U150&gt;=Scope!$B$9,1,0)</x:f>
        <x:v>1</x:v>
      </x:c>
      <x:c r="W150" s="8" t="n">
        <x:f>(F150-Q150)^2</x:f>
        <x:v>0.6213303808698422</x:v>
      </x:c>
      <x:c r="X150" s="8" t="n">
        <x:f>(F150-S150)^2</x:f>
        <x:v>0.6965318017443969</x:v>
      </x:c>
      <x:c r="Y150" s="8" t="n">
        <x:f>(F150-U150)^2</x:f>
        <x:v>0.6167594089506867</x:v>
      </x:c>
    </x:row>
    <x:row r="151" ht="28" customHeight="1">
      <x:c r="A151" s="4" t="str">
        <x:v>UCSD-PTGBM-0116_01</x:v>
      </x:c>
      <x:c r="B151" s="4" t="str">
        <x:v>UCSD-PTGBM-0116</x:v>
      </x:c>
      <x:c r="C151" s="4" t="str">
        <x:v>BraTS-GLI-02371-100</x:v>
      </x:c>
      <x:c r="D151" s="4" t="str">
        <x:v>BraTS-GLI-02371</x:v>
      </x:c>
      <x:c r="E151" s="4" t="str">
        <x:v>dualid:UCSD-PTGBM-0116</x:v>
      </x:c>
      <x:c r="F151" s="6" t="n">
        <x:v>1</x:v>
      </x:c>
      <x:c r="G151" s="4" t="str">
        <x:v>derived_from_published_243_equals_192_plus_51_partition</x:v>
      </x:c>
      <x:c r="H151" s="6" t="n">
        <x:v>20</x:v>
      </x:c>
      <x:c r="I151" s="6" t="n">
        <x:v>1</x:v>
      </x:c>
      <x:c r="J151" s="6" t="n">
        <x:v>0</x:v>
      </x:c>
      <x:c r="K151" s="4" t="str">
        <x:v>Unknown</x:v>
      </x:c>
      <x:c r="L151" s="6"/>
      <x:c r="M151" s="6"/>
      <x:c r="N151" s="6" t="n">
        <x:v>1</x:v>
      </x:c>
      <x:c r="O151" s="4" t="str">
        <x:v>Glioblastoma</x:v>
      </x:c>
      <x:c r="P151" s="6" t="n">
        <x:v>1</x:v>
      </x:c>
      <x:c r="Q151" s="8" t="n">
        <x:v>0.6426344026</x:v>
      </x:c>
      <x:c r="R151" s="6" t="n">
        <x:f>IF(Q151&gt;=Scope!$B$9,1,0)</x:f>
        <x:v>1</x:v>
      </x:c>
      <x:c r="S151" s="8" t="n">
        <x:v>0.8383242954</x:v>
      </x:c>
      <x:c r="T151" s="6" t="n">
        <x:f>IF(S151&gt;=Scope!$B$9,1,0)</x:f>
        <x:v>1</x:v>
      </x:c>
      <x:c r="U151" s="8" t="n">
        <x:v>0.7842105263</x:v>
      </x:c>
      <x:c r="V151" s="6" t="n">
        <x:f>IF(U151&gt;=Scope!$B$9,1,0)</x:f>
        <x:v>1</x:v>
      </x:c>
      <x:c r="W151" s="8" t="n">
        <x:f>(F151-Q151)^2</x:f>
        <x:v>0.12771017020505884</x:v>
      </x:c>
      <x:c r="X151" s="8" t="n">
        <x:f>(F151-S151)^2</x:f>
        <x:v>0.02613903345790647</x:v>
      </x:c>
      <x:c r="Y151" s="8" t="n">
        <x:f>(F151-U151)^2</x:f>
        <x:v>0.046565096959722996</x:v>
      </x:c>
    </x:row>
    <x:row r="152" ht="28" customHeight="1">
      <x:c r="A152" s="4" t="str">
        <x:v>UCSD-PTGBM-0116_02</x:v>
      </x:c>
      <x:c r="B152" s="4" t="str">
        <x:v>UCSD-PTGBM-0116</x:v>
      </x:c>
      <x:c r="C152" s="4" t="str">
        <x:v>BraTS-GLI-02371-101</x:v>
      </x:c>
      <x:c r="D152" s="4" t="str">
        <x:v>BraTS-GLI-02371</x:v>
      </x:c>
      <x:c r="E152" s="4" t="str">
        <x:v>dualid:UCSD-PTGBM-0116</x:v>
      </x:c>
      <x:c r="F152" s="6" t="n">
        <x:v>1</x:v>
      </x:c>
      <x:c r="G152" s="4" t="str">
        <x:v>derived_from_published_243_equals_192_plus_51_partition</x:v>
      </x:c>
      <x:c r="H152" s="6" t="n">
        <x:v>20</x:v>
      </x:c>
      <x:c r="I152" s="6" t="n">
        <x:v>1</x:v>
      </x:c>
      <x:c r="J152" s="6" t="n">
        <x:v>0</x:v>
      </x:c>
      <x:c r="K152" s="4" t="str">
        <x:v>Unknown</x:v>
      </x:c>
      <x:c r="L152" s="6"/>
      <x:c r="M152" s="6"/>
      <x:c r="N152" s="6" t="n">
        <x:v>1</x:v>
      </x:c>
      <x:c r="O152" s="4" t="str">
        <x:v>Glioblastoma</x:v>
      </x:c>
      <x:c r="P152" s="6" t="n">
        <x:v>1</x:v>
      </x:c>
      <x:c r="Q152" s="8" t="n">
        <x:v>0.6426344026</x:v>
      </x:c>
      <x:c r="R152" s="6" t="n">
        <x:f>IF(Q152&gt;=Scope!$B$9,1,0)</x:f>
        <x:v>1</x:v>
      </x:c>
      <x:c r="S152" s="8" t="n">
        <x:v>0.8383242954</x:v>
      </x:c>
      <x:c r="T152" s="6" t="n">
        <x:f>IF(S152&gt;=Scope!$B$9,1,0)</x:f>
        <x:v>1</x:v>
      </x:c>
      <x:c r="U152" s="8" t="n">
        <x:v>0.7842105263</x:v>
      </x:c>
      <x:c r="V152" s="6" t="n">
        <x:f>IF(U152&gt;=Scope!$B$9,1,0)</x:f>
        <x:v>1</x:v>
      </x:c>
      <x:c r="W152" s="8" t="n">
        <x:f>(F152-Q152)^2</x:f>
        <x:v>0.12771017020505884</x:v>
      </x:c>
      <x:c r="X152" s="8" t="n">
        <x:f>(F152-S152)^2</x:f>
        <x:v>0.02613903345790647</x:v>
      </x:c>
      <x:c r="Y152" s="8" t="n">
        <x:f>(F152-U152)^2</x:f>
        <x:v>0.046565096959722996</x:v>
      </x:c>
    </x:row>
    <x:row r="153" ht="28" customHeight="1">
      <x:c r="A153" s="4" t="str">
        <x:v>UCSD-PTGBM-0117_01</x:v>
      </x:c>
      <x:c r="B153" s="4" t="str">
        <x:v>UCSD-PTGBM-0117</x:v>
      </x:c>
      <x:c r="C153" s="4" t="str">
        <x:v>BraTS-GLI-02372-100</x:v>
      </x:c>
      <x:c r="D153" s="4" t="str">
        <x:v>BraTS-GLI-02372</x:v>
      </x:c>
      <x:c r="E153" s="4" t="str">
        <x:v>dualid:UCSD-PTGBM-0117</x:v>
      </x:c>
      <x:c r="F153" s="6" t="n">
        <x:v>1</x:v>
      </x:c>
      <x:c r="G153" s="4" t="str">
        <x:v>derived_from_published_243_equals_192_plus_51_partition</x:v>
      </x:c>
      <x:c r="H153" s="6" t="n">
        <x:v>52</x:v>
      </x:c>
      <x:c r="I153" s="6" t="n">
        <x:v>0</x:v>
      </x:c>
      <x:c r="J153" s="6" t="n">
        <x:v>0</x:v>
      </x:c>
      <x:c r="K153" s="4" t="str">
        <x:v>-622</x:v>
      </x:c>
      <x:c r="L153" s="6" t="n">
        <x:v>622</x:v>
      </x:c>
      <x:c r="M153" s="6" t="n">
        <x:v>6.4345465188</x:v>
      </x:c>
      <x:c r="N153" s="6" t="n">
        <x:v>0</x:v>
      </x:c>
      <x:c r="O153" s="4" t="str">
        <x:v>Glioblastoma</x:v>
      </x:c>
      <x:c r="P153" s="6" t="n">
        <x:v>2</x:v>
      </x:c>
      <x:c r="Q153" s="8" t="n">
        <x:v>0.7345930731</x:v>
      </x:c>
      <x:c r="R153" s="6" t="n">
        <x:f>IF(Q153&gt;=Scope!$B$9,1,0)</x:f>
        <x:v>1</x:v>
      </x:c>
      <x:c r="S153" s="8" t="n">
        <x:v>0.5973978259</x:v>
      </x:c>
      <x:c r="T153" s="6" t="n">
        <x:f>IF(S153&gt;=Scope!$B$9,1,0)</x:f>
        <x:v>1</x:v>
      </x:c>
      <x:c r="U153" s="8" t="n">
        <x:v>0.7883597884</x:v>
      </x:c>
      <x:c r="V153" s="6" t="n">
        <x:f>IF(U153&gt;=Scope!$B$9,1,0)</x:f>
        <x:v>1</x:v>
      </x:c>
      <x:c r="W153" s="8" t="n">
        <x:f>(F153-Q153)^2</x:f>
        <x:v>0.07044083684650194</x:v>
      </x:c>
      <x:c r="X153" s="8" t="n">
        <x:f>(F153-S153)^2</x:f>
        <x:v>0.1620885105900467</x:v>
      </x:c>
      <x:c r="Y153" s="8" t="n">
        <x:f>(F153-U153)^2</x:f>
        <x:v>0.04479157916609278</x:v>
      </x:c>
    </x:row>
    <x:row r="154" ht="28" customHeight="1">
      <x:c r="A154" s="4" t="str">
        <x:v>UCSD-PTGBM-0118_01</x:v>
      </x:c>
      <x:c r="B154" s="4" t="str">
        <x:v>UCSD-PTGBM-0118</x:v>
      </x:c>
      <x:c r="C154" s="4" t="str">
        <x:v>BraTS-GLI-02373-100</x:v>
      </x:c>
      <x:c r="D154" s="4" t="str">
        <x:v>BraTS-GLI-02373</x:v>
      </x:c>
      <x:c r="E154" s="4" t="str">
        <x:v>dualid:UCSD-PTGBM-0118</x:v>
      </x:c>
      <x:c r="F154" s="6" t="n">
        <x:v>1</x:v>
      </x:c>
      <x:c r="G154" s="4" t="str">
        <x:v>derived_from_published_243_equals_192_plus_51_partition</x:v>
      </x:c>
      <x:c r="H154" s="6" t="n">
        <x:v>41</x:v>
      </x:c>
      <x:c r="I154" s="6" t="n">
        <x:v>1</x:v>
      </x:c>
      <x:c r="J154" s="6" t="n">
        <x:v>0</x:v>
      </x:c>
      <x:c r="K154" s="4" t="str">
        <x:v>-123</x:v>
      </x:c>
      <x:c r="L154" s="6" t="n">
        <x:v>123</x:v>
      </x:c>
      <x:c r="M154" s="6" t="n">
        <x:v>4.8202815656</x:v>
      </x:c>
      <x:c r="N154" s="6" t="n">
        <x:v>0</x:v>
      </x:c>
      <x:c r="O154" s="4" t="str">
        <x:v>Glioblastoma</x:v>
      </x:c>
      <x:c r="P154" s="6" t="n">
        <x:v>1</x:v>
      </x:c>
      <x:c r="Q154" s="8" t="n">
        <x:v>0.7566994994</x:v>
      </x:c>
      <x:c r="R154" s="6" t="n">
        <x:f>IF(Q154&gt;=Scope!$B$9,1,0)</x:f>
        <x:v>1</x:v>
      </x:c>
      <x:c r="S154" s="8" t="n">
        <x:v>0.7522751108</x:v>
      </x:c>
      <x:c r="T154" s="6" t="n">
        <x:f>IF(S154&gt;=Scope!$B$9,1,0)</x:f>
        <x:v>1</x:v>
      </x:c>
      <x:c r="U154" s="8" t="n">
        <x:v>0.7842105263</x:v>
      </x:c>
      <x:c r="V154" s="6" t="n">
        <x:f>IF(U154&gt;=Scope!$B$9,1,0)</x:f>
        <x:v>1</x:v>
      </x:c>
      <x:c r="W154" s="8" t="n">
        <x:f>(F154-Q154)^2</x:f>
        <x:v>0.05919513359221058</x:v>
      </x:c>
      <x:c r="X154" s="8" t="n">
        <x:f>(F154-S154)^2</x:f>
        <x:v>0.061367620729152285</x:v>
      </x:c>
      <x:c r="Y154" s="8" t="n">
        <x:f>(F154-U154)^2</x:f>
        <x:v>0.046565096959722996</x:v>
      </x:c>
    </x:row>
    <x:row r="155" ht="28" customHeight="1">
      <x:c r="A155" s="4" t="str">
        <x:v>UCSD-PTGBM-0119_01</x:v>
      </x:c>
      <x:c r="B155" s="4" t="str">
        <x:v>UCSD-PTGBM-0119</x:v>
      </x:c>
      <x:c r="C155" s="4" t="str">
        <x:v>BraTS-GLI-02374-100</x:v>
      </x:c>
      <x:c r="D155" s="4" t="str">
        <x:v>BraTS-GLI-02374</x:v>
      </x:c>
      <x:c r="E155" s="4" t="str">
        <x:v>dualid:UCSD-PTGBM-0119</x:v>
      </x:c>
      <x:c r="F155" s="6" t="n">
        <x:v>0</x:v>
      </x:c>
      <x:c r="G155" s="4" t="str">
        <x:v>explicit_negative_case_list</x:v>
      </x:c>
      <x:c r="H155" s="6" t="n">
        <x:v>48</x:v>
      </x:c>
      <x:c r="I155" s="6" t="n">
        <x:v>1</x:v>
      </x:c>
      <x:c r="J155" s="6" t="n">
        <x:v>0</x:v>
      </x:c>
      <x:c r="K155" s="4" t="str">
        <x:v>-364</x:v>
      </x:c>
      <x:c r="L155" s="6" t="n">
        <x:v>364</x:v>
      </x:c>
      <x:c r="M155" s="6" t="n">
        <x:v>5.8998973536</x:v>
      </x:c>
      <x:c r="N155" s="6" t="n">
        <x:v>0</x:v>
      </x:c>
      <x:c r="O155" s="4" t="str">
        <x:v>Glioblastoma</x:v>
      </x:c>
      <x:c r="P155" s="6" t="n">
        <x:v>3</x:v>
      </x:c>
      <x:c r="Q155" s="8" t="n">
        <x:v>0.7743583616</x:v>
      </x:c>
      <x:c r="R155" s="6" t="n">
        <x:f>IF(Q155&gt;=Scope!$B$9,1,0)</x:f>
        <x:v>1</x:v>
      </x:c>
      <x:c r="S155" s="8" t="n">
        <x:v>0.6339140707</x:v>
      </x:c>
      <x:c r="T155" s="6" t="n">
        <x:f>IF(S155&gt;=Scope!$B$9,1,0)</x:f>
        <x:v>1</x:v>
      </x:c>
      <x:c r="U155" s="8" t="n">
        <x:v>0.7853403141</x:v>
      </x:c>
      <x:c r="V155" s="6" t="n">
        <x:f>IF(U155&gt;=Scope!$B$9,1,0)</x:f>
        <x:v>1</x:v>
      </x:c>
      <x:c r="W155" s="8" t="n">
        <x:f>(F155-Q155)^2</x:f>
        <x:v>0.5996308721798365</x:v>
      </x:c>
      <x:c r="X155" s="8" t="n">
        <x:f>(F155-S155)^2</x:f>
        <x:v>0.4018470490314447</x:v>
      </x:c>
      <x:c r="Y155" s="8" t="n">
        <x:f>(F155-U155)^2</x:f>
        <x:v>0.6167594089506867</x:v>
      </x:c>
    </x:row>
    <x:row r="156" ht="28" customHeight="1">
      <x:c r="A156" s="4" t="str">
        <x:v>UCSD-PTGBM-0119_02</x:v>
      </x:c>
      <x:c r="B156" s="4" t="str">
        <x:v>UCSD-PTGBM-0119</x:v>
      </x:c>
      <x:c r="C156" s="4" t="str">
        <x:v>BraTS-GLI-02374-101</x:v>
      </x:c>
      <x:c r="D156" s="4" t="str">
        <x:v>BraTS-GLI-02374</x:v>
      </x:c>
      <x:c r="E156" s="4" t="str">
        <x:v>dualid:UCSD-PTGBM-0119</x:v>
      </x:c>
      <x:c r="F156" s="6" t="n">
        <x:v>0</x:v>
      </x:c>
      <x:c r="G156" s="4" t="str">
        <x:v>explicit_negative_case_list</x:v>
      </x:c>
      <x:c r="H156" s="6" t="n">
        <x:v>48</x:v>
      </x:c>
      <x:c r="I156" s="6" t="n">
        <x:v>1</x:v>
      </x:c>
      <x:c r="J156" s="6" t="n">
        <x:v>1</x:v>
      </x:c>
      <x:c r="K156" s="4" t="str">
        <x:v>-484</x:v>
      </x:c>
      <x:c r="L156" s="6" t="n">
        <x:v>484</x:v>
      </x:c>
      <x:c r="M156" s="6" t="n">
        <x:v>6.1841488909</x:v>
      </x:c>
      <x:c r="N156" s="6" t="n">
        <x:v>0</x:v>
      </x:c>
      <x:c r="O156" s="4" t="str">
        <x:v>Glioblastoma</x:v>
      </x:c>
      <x:c r="P156" s="6" t="n">
        <x:v>3</x:v>
      </x:c>
      <x:c r="Q156" s="8" t="n">
        <x:v>0.7743583616</x:v>
      </x:c>
      <x:c r="R156" s="6" t="n">
        <x:f>IF(Q156&gt;=Scope!$B$9,1,0)</x:f>
        <x:v>1</x:v>
      </x:c>
      <x:c r="S156" s="8" t="n">
        <x:v>0.73551173</x:v>
      </x:c>
      <x:c r="T156" s="6" t="n">
        <x:f>IF(S156&gt;=Scope!$B$9,1,0)</x:f>
        <x:v>1</x:v>
      </x:c>
      <x:c r="U156" s="8" t="n">
        <x:v>0.7853403141</x:v>
      </x:c>
      <x:c r="V156" s="6" t="n">
        <x:f>IF(U156&gt;=Scope!$B$9,1,0)</x:f>
        <x:v>1</x:v>
      </x:c>
      <x:c r="W156" s="8" t="n">
        <x:f>(F156-Q156)^2</x:f>
        <x:v>0.5996308721798365</x:v>
      </x:c>
      <x:c r="X156" s="8" t="n">
        <x:f>(F156-S156)^2</x:f>
        <x:v>0.5409775049675929</x:v>
      </x:c>
      <x:c r="Y156" s="8" t="n">
        <x:f>(F156-U156)^2</x:f>
        <x:v>0.6167594089506867</x:v>
      </x:c>
    </x:row>
    <x:row r="157" ht="28" customHeight="1">
      <x:c r="A157" s="4" t="str">
        <x:v>UCSD-PTGBM-0120_01</x:v>
      </x:c>
      <x:c r="B157" s="4" t="str">
        <x:v>UCSD-PTGBM-0120</x:v>
      </x:c>
      <x:c r="C157" s="4" t="str">
        <x:v>BraTS-GLI-02375-100</x:v>
      </x:c>
      <x:c r="D157" s="4" t="str">
        <x:v>BraTS-GLI-02375</x:v>
      </x:c>
      <x:c r="E157" s="4" t="str">
        <x:v>dualid:UCSD-PTGBM-0120</x:v>
      </x:c>
      <x:c r="F157" s="6" t="n">
        <x:v>1</x:v>
      </x:c>
      <x:c r="G157" s="4" t="str">
        <x:v>derived_from_published_243_equals_192_plus_51_partition</x:v>
      </x:c>
      <x:c r="H157" s="6" t="n">
        <x:v>57</x:v>
      </x:c>
      <x:c r="I157" s="6" t="n">
        <x:v>0</x:v>
      </x:c>
      <x:c r="J157" s="6" t="n">
        <x:v>0</x:v>
      </x:c>
      <x:c r="K157" s="4" t="str">
        <x:v>-407</x:v>
      </x:c>
      <x:c r="L157" s="6" t="n">
        <x:v>407</x:v>
      </x:c>
      <x:c r="M157" s="6" t="n">
        <x:v>6.0112671744</x:v>
      </x:c>
      <x:c r="N157" s="6" t="n">
        <x:v>0</x:v>
      </x:c>
      <x:c r="O157" s="4" t="str">
        <x:v>Glioblastoma</x:v>
      </x:c>
      <x:c r="P157" s="6" t="n">
        <x:v>5</x:v>
      </x:c>
      <x:c r="Q157" s="8" t="n">
        <x:v>0.7551626541</x:v>
      </x:c>
      <x:c r="R157" s="6" t="n">
        <x:f>IF(Q157&gt;=Scope!$B$9,1,0)</x:f>
        <x:v>1</x:v>
      </x:c>
      <x:c r="S157" s="8" t="n">
        <x:v>0.633879581</x:v>
      </x:c>
      <x:c r="T157" s="6" t="n">
        <x:f>IF(S157&gt;=Scope!$B$9,1,0)</x:f>
        <x:v>1</x:v>
      </x:c>
      <x:c r="U157" s="8" t="n">
        <x:v>0.7853403141</x:v>
      </x:c>
      <x:c r="V157" s="6" t="n">
        <x:f>IF(U157&gt;=Scope!$B$9,1,0)</x:f>
        <x:v>1</x:v>
      </x:c>
      <x:c r="W157" s="8" t="n">
        <x:f>(F157-Q157)^2</x:f>
        <x:v>0.05994532594735622</x:v>
      </x:c>
      <x:c r="X157" s="8" t="n">
        <x:f>(F157-S157)^2</x:f>
        <x:v>0.13404416120873558</x:v>
      </x:c>
      <x:c r="Y157" s="8" t="n">
        <x:f>(F157-U157)^2</x:f>
        <x:v>0.04607878075068664</x:v>
      </x:c>
    </x:row>
    <x:row r="158" ht="28" customHeight="1">
      <x:c r="A158" s="4" t="str">
        <x:v>UCSD-PTGBM-0120_02</x:v>
      </x:c>
      <x:c r="B158" s="4" t="str">
        <x:v>UCSD-PTGBM-0120</x:v>
      </x:c>
      <x:c r="C158" s="4" t="str">
        <x:v>BraTS-GLI-02375-101</x:v>
      </x:c>
      <x:c r="D158" s="4" t="str">
        <x:v>BraTS-GLI-02375</x:v>
      </x:c>
      <x:c r="E158" s="4" t="str">
        <x:v>dualid:UCSD-PTGBM-0120</x:v>
      </x:c>
      <x:c r="F158" s="6" t="n">
        <x:v>1</x:v>
      </x:c>
      <x:c r="G158" s="4" t="str">
        <x:v>derived_from_published_243_equals_192_plus_51_partition</x:v>
      </x:c>
      <x:c r="H158" s="6" t="n">
        <x:v>57</x:v>
      </x:c>
      <x:c r="I158" s="6" t="n">
        <x:v>0</x:v>
      </x:c>
      <x:c r="J158" s="6" t="n">
        <x:v>0</x:v>
      </x:c>
      <x:c r="K158" s="4" t="str">
        <x:v>-620</x:v>
      </x:c>
      <x:c r="L158" s="6" t="n">
        <x:v>620</x:v>
      </x:c>
      <x:c r="M158" s="6" t="n">
        <x:v>6.4313310819</x:v>
      </x:c>
      <x:c r="N158" s="6" t="n">
        <x:v>0</x:v>
      </x:c>
      <x:c r="O158" s="4" t="str">
        <x:v>Glioblastoma</x:v>
      </x:c>
      <x:c r="P158" s="6" t="n">
        <x:v>5</x:v>
      </x:c>
      <x:c r="Q158" s="8" t="n">
        <x:v>0.7551626541</x:v>
      </x:c>
      <x:c r="R158" s="6" t="n">
        <x:f>IF(Q158&gt;=Scope!$B$9,1,0)</x:f>
        <x:v>1</x:v>
      </x:c>
      <x:c r="S158" s="8" t="n">
        <x:v>0.5852061985</x:v>
      </x:c>
      <x:c r="T158" s="6" t="n">
        <x:f>IF(S158&gt;=Scope!$B$9,1,0)</x:f>
        <x:v>1</x:v>
      </x:c>
      <x:c r="U158" s="8" t="n">
        <x:v>0.7853403141</x:v>
      </x:c>
      <x:c r="V158" s="6" t="n">
        <x:f>IF(U158&gt;=Scope!$B$9,1,0)</x:f>
        <x:v>1</x:v>
      </x:c>
      <x:c r="W158" s="8" t="n">
        <x:f>(F158-Q158)^2</x:f>
        <x:v>0.05994532594735622</x:v>
      </x:c>
      <x:c r="X158" s="8" t="n">
        <x:f>(F158-S158)^2</x:f>
        <x:v>0.1720538977628214</x:v>
      </x:c>
      <x:c r="Y158" s="8" t="n">
        <x:f>(F158-U158)^2</x:f>
        <x:v>0.04607878075068664</x:v>
      </x:c>
    </x:row>
    <x:row r="159" ht="28" customHeight="1">
      <x:c r="A159" s="4" t="str">
        <x:v>UCSD-PTGBM-0121_01</x:v>
      </x:c>
      <x:c r="B159" s="4" t="str">
        <x:v>UCSD-PTGBM-0121</x:v>
      </x:c>
      <x:c r="C159" s="4" t="str">
        <x:v>BraTS-GLI-02376-100</x:v>
      </x:c>
      <x:c r="D159" s="4" t="str">
        <x:v>BraTS-GLI-02376</x:v>
      </x:c>
      <x:c r="E159" s="4" t="str">
        <x:v>dualid:UCSD-PTGBM-0121</x:v>
      </x:c>
      <x:c r="F159" s="6" t="n">
        <x:v>1</x:v>
      </x:c>
      <x:c r="G159" s="4" t="str">
        <x:v>derived_from_published_243_equals_192_plus_51_partition</x:v>
      </x:c>
      <x:c r="H159" s="6" t="n">
        <x:v>59</x:v>
      </x:c>
      <x:c r="I159" s="6" t="n">
        <x:v>1</x:v>
      </x:c>
      <x:c r="J159" s="6" t="n">
        <x:v>0</x:v>
      </x:c>
      <x:c r="K159" s="4" t="str">
        <x:v>-112</x:v>
      </x:c>
      <x:c r="L159" s="6" t="n">
        <x:v>112</x:v>
      </x:c>
      <x:c r="M159" s="6" t="n">
        <x:v>4.7273878187</x:v>
      </x:c>
      <x:c r="N159" s="6" t="n">
        <x:v>0</x:v>
      </x:c>
      <x:c r="O159" s="4" t="str">
        <x:v>Glioblastoma</x:v>
      </x:c>
      <x:c r="P159" s="6" t="n">
        <x:v>5</x:v>
      </x:c>
      <x:c r="Q159" s="8" t="n">
        <x:v>0.8304761555</x:v>
      </x:c>
      <x:c r="R159" s="6" t="n">
        <x:f>IF(Q159&gt;=Scope!$B$9,1,0)</x:f>
        <x:v>1</x:v>
      </x:c>
      <x:c r="S159" s="8" t="n">
        <x:v>0.8034891432</x:v>
      </x:c>
      <x:c r="T159" s="6" t="n">
        <x:f>IF(S159&gt;=Scope!$B$9,1,0)</x:f>
        <x:v>1</x:v>
      </x:c>
      <x:c r="U159" s="8" t="n">
        <x:v>0.7853403141</x:v>
      </x:c>
      <x:c r="V159" s="6" t="n">
        <x:f>IF(U159&gt;=Scope!$B$9,1,0)</x:f>
        <x:v>1</x:v>
      </x:c>
      <x:c r="W159" s="8" t="n">
        <x:f>(F159-Q159)^2</x:f>
        <x:v>0.02873833385406019</x:v>
      </x:c>
      <x:c r="X159" s="8" t="n">
        <x:f>(F159-S159)^2</x:f>
        <x:v>0.038616516840270114</x:v>
      </x:c>
      <x:c r="Y159" s="8" t="n">
        <x:f>(F159-U159)^2</x:f>
        <x:v>0.04607878075068664</x:v>
      </x:c>
    </x:row>
    <x:row r="160" ht="28" customHeight="1">
      <x:c r="A160" s="4" t="str">
        <x:v>UCSD-PTGBM-0121_02</x:v>
      </x:c>
      <x:c r="B160" s="4" t="str">
        <x:v>UCSD-PTGBM-0121</x:v>
      </x:c>
      <x:c r="C160" s="4" t="str">
        <x:v>BraTS-GLI-02376-101</x:v>
      </x:c>
      <x:c r="D160" s="4" t="str">
        <x:v>BraTS-GLI-02376</x:v>
      </x:c>
      <x:c r="E160" s="4" t="str">
        <x:v>dualid:UCSD-PTGBM-0121</x:v>
      </x:c>
      <x:c r="F160" s="6" t="n">
        <x:v>1</x:v>
      </x:c>
      <x:c r="G160" s="4" t="str">
        <x:v>derived_from_published_243_equals_192_plus_51_partition</x:v>
      </x:c>
      <x:c r="H160" s="6" t="n">
        <x:v>59</x:v>
      </x:c>
      <x:c r="I160" s="6" t="n">
        <x:v>1</x:v>
      </x:c>
      <x:c r="J160" s="6" t="n">
        <x:v>1</x:v>
      </x:c>
      <x:c r="K160" s="4" t="str">
        <x:v>-303</x:v>
      </x:c>
      <x:c r="L160" s="6" t="n">
        <x:v>303</x:v>
      </x:c>
      <x:c r="M160" s="6" t="n">
        <x:v>5.7170277014</x:v>
      </x:c>
      <x:c r="N160" s="6" t="n">
        <x:v>0</x:v>
      </x:c>
      <x:c r="O160" s="4" t="str">
        <x:v>Glioblastoma</x:v>
      </x:c>
      <x:c r="P160" s="6" t="n">
        <x:v>5</x:v>
      </x:c>
      <x:c r="Q160" s="8" t="n">
        <x:v>0.8304761555</x:v>
      </x:c>
      <x:c r="R160" s="6" t="n">
        <x:f>IF(Q160&gt;=Scope!$B$9,1,0)</x:f>
        <x:v>1</x:v>
      </x:c>
      <x:c r="S160" s="8" t="n">
        <x:v>0.8493522779</x:v>
      </x:c>
      <x:c r="T160" s="6" t="n">
        <x:f>IF(S160&gt;=Scope!$B$9,1,0)</x:f>
        <x:v>1</x:v>
      </x:c>
      <x:c r="U160" s="8" t="n">
        <x:v>0.7853403141</x:v>
      </x:c>
      <x:c r="V160" s="6" t="n">
        <x:f>IF(U160&gt;=Scope!$B$9,1,0)</x:f>
        <x:v>1</x:v>
      </x:c>
      <x:c r="W160" s="8" t="n">
        <x:f>(F160-Q160)^2</x:f>
        <x:v>0.02873833385406019</x:v>
      </x:c>
      <x:c r="X160" s="8" t="n">
        <x:f>(F160-S160)^2</x:f>
        <x:v>0.022694736173918827</x:v>
      </x:c>
      <x:c r="Y160" s="8" t="n">
        <x:f>(F160-U160)^2</x:f>
        <x:v>0.04607878075068664</x:v>
      </x:c>
    </x:row>
    <x:row r="161" ht="28" customHeight="1">
      <x:c r="A161" s="4" t="str">
        <x:v>UCSD-PTGBM-0122_01</x:v>
      </x:c>
      <x:c r="B161" s="4" t="str">
        <x:v>UCSD-PTGBM-0122</x:v>
      </x:c>
      <x:c r="C161" s="4" t="str">
        <x:v>BraTS-GLI-02377-100</x:v>
      </x:c>
      <x:c r="D161" s="4" t="str">
        <x:v>BraTS-GLI-02377</x:v>
      </x:c>
      <x:c r="E161" s="4" t="str">
        <x:v>dualid:UCSD-PTGBM-0122</x:v>
      </x:c>
      <x:c r="F161" s="6" t="n">
        <x:v>1</x:v>
      </x:c>
      <x:c r="G161" s="4" t="str">
        <x:v>derived_from_published_243_equals_192_plus_51_partition</x:v>
      </x:c>
      <x:c r="H161" s="6" t="n">
        <x:v>52</x:v>
      </x:c>
      <x:c r="I161" s="6" t="n">
        <x:v>1</x:v>
      </x:c>
      <x:c r="J161" s="6" t="n">
        <x:v>0</x:v>
      </x:c>
      <x:c r="K161" s="4" t="str">
        <x:v>-267</x:v>
      </x:c>
      <x:c r="L161" s="6" t="n">
        <x:v>267</x:v>
      </x:c>
      <x:c r="M161" s="6" t="n">
        <x:v>5.5909869805</x:v>
      </x:c>
      <x:c r="N161" s="6" t="n">
        <x:v>0</x:v>
      </x:c>
      <x:c r="O161" s="4" t="str">
        <x:v>Glioblastoma</x:v>
      </x:c>
      <x:c r="P161" s="6" t="n">
        <x:v>3</x:v>
      </x:c>
      <x:c r="Q161" s="8" t="n">
        <x:v>0.7927328049</x:v>
      </x:c>
      <x:c r="R161" s="6" t="n">
        <x:f>IF(Q161&gt;=Scope!$B$9,1,0)</x:f>
        <x:v>1</x:v>
      </x:c>
      <x:c r="S161" s="8" t="n">
        <x:v>0.6826047959</x:v>
      </x:c>
      <x:c r="T161" s="6" t="n">
        <x:f>IF(S161&gt;=Scope!$B$9,1,0)</x:f>
        <x:v>1</x:v>
      </x:c>
      <x:c r="U161" s="8" t="n">
        <x:v>0.7853403141</x:v>
      </x:c>
      <x:c r="V161" s="6" t="n">
        <x:f>IF(U161&gt;=Scope!$B$9,1,0)</x:f>
        <x:v>1</x:v>
      </x:c>
      <x:c r="W161" s="8" t="n">
        <x:f>(F161-Q161)^2</x:f>
        <x:v>0.04295969016462147</x:v>
      </x:c>
      <x:c r="X161" s="8" t="n">
        <x:f>(F161-S161)^2</x:f>
        <x:v>0.10073971558568065</x:v>
      </x:c>
      <x:c r="Y161" s="8" t="n">
        <x:f>(F161-U161)^2</x:f>
        <x:v>0.04607878075068664</x:v>
      </x:c>
    </x:row>
    <x:row r="162" ht="28" customHeight="1">
      <x:c r="A162" s="4" t="str">
        <x:v>UCSD-PTGBM-0123_01</x:v>
      </x:c>
      <x:c r="B162" s="4" t="str">
        <x:v>UCSD-PTGBM-0123</x:v>
      </x:c>
      <x:c r="C162" s="4" t="str">
        <x:v>BraTS-GLI-02378-100</x:v>
      </x:c>
      <x:c r="D162" s="4" t="str">
        <x:v>BraTS-GLI-02378</x:v>
      </x:c>
      <x:c r="E162" s="4" t="str">
        <x:v>dualid:UCSD-PTGBM-0123</x:v>
      </x:c>
      <x:c r="F162" s="6" t="n">
        <x:v>0</x:v>
      </x:c>
      <x:c r="G162" s="4" t="str">
        <x:v>explicit_negative_case_list</x:v>
      </x:c>
      <x:c r="H162" s="6" t="n">
        <x:v>52</x:v>
      </x:c>
      <x:c r="I162" s="6" t="n">
        <x:v>0</x:v>
      </x:c>
      <x:c r="J162" s="6" t="n">
        <x:v>0</x:v>
      </x:c>
      <x:c r="K162" s="4" t="str">
        <x:v>-52</x:v>
      </x:c>
      <x:c r="L162" s="6" t="n">
        <x:v>52</x:v>
      </x:c>
      <x:c r="M162" s="6" t="n">
        <x:v>3.9702919136</x:v>
      </x:c>
      <x:c r="N162" s="6" t="n">
        <x:v>0</x:v>
      </x:c>
      <x:c r="O162" s="4" t="str">
        <x:v>Glioblastoma</x:v>
      </x:c>
      <x:c r="P162" s="6" t="n">
        <x:v>5</x:v>
      </x:c>
      <x:c r="Q162" s="8" t="n">
        <x:v>0.724201403</x:v>
      </x:c>
      <x:c r="R162" s="6" t="n">
        <x:f>IF(Q162&gt;=Scope!$B$9,1,0)</x:f>
        <x:v>1</x:v>
      </x:c>
      <x:c r="S162" s="8" t="n">
        <x:v>0.8094326415</x:v>
      </x:c>
      <x:c r="T162" s="6" t="n">
        <x:f>IF(S162&gt;=Scope!$B$9,1,0)</x:f>
        <x:v>1</x:v>
      </x:c>
      <x:c r="U162" s="8" t="n">
        <x:v>0.7853403141</x:v>
      </x:c>
      <x:c r="V162" s="6" t="n">
        <x:f>IF(U162&gt;=Scope!$B$9,1,0)</x:f>
        <x:v>1</x:v>
      </x:c>
      <x:c r="W162" s="8" t="n">
        <x:f>(F162-Q162)^2</x:f>
        <x:v>0.5244676721071685</x:v>
      </x:c>
      <x:c r="X162" s="8" t="n">
        <x:f>(F162-S162)^2</x:f>
        <x:v>0.6551812011256676</x:v>
      </x:c>
      <x:c r="Y162" s="8" t="n">
        <x:f>(F162-U162)^2</x:f>
        <x:v>0.6167594089506867</x:v>
      </x:c>
    </x:row>
    <x:row r="163" ht="28" customHeight="1">
      <x:c r="A163" s="4" t="str">
        <x:v>UCSD-PTGBM-0123_02</x:v>
      </x:c>
      <x:c r="B163" s="4" t="str">
        <x:v>UCSD-PTGBM-0123</x:v>
      </x:c>
      <x:c r="C163" s="4" t="str">
        <x:v>BraTS-GLI-02378-101</x:v>
      </x:c>
      <x:c r="D163" s="4" t="str">
        <x:v>BraTS-GLI-02378</x:v>
      </x:c>
      <x:c r="E163" s="4" t="str">
        <x:v>dualid:UCSD-PTGBM-0123</x:v>
      </x:c>
      <x:c r="F163" s="6" t="n">
        <x:v>0</x:v>
      </x:c>
      <x:c r="G163" s="4" t="str">
        <x:v>explicit_negative_case_list</x:v>
      </x:c>
      <x:c r="H163" s="6" t="n">
        <x:v>52</x:v>
      </x:c>
      <x:c r="I163" s="6" t="n">
        <x:v>0</x:v>
      </x:c>
      <x:c r="J163" s="6" t="n">
        <x:v>0</x:v>
      </x:c>
      <x:c r="K163" s="4" t="str">
        <x:v>-126</x:v>
      </x:c>
      <x:c r="L163" s="6" t="n">
        <x:v>126</x:v>
      </x:c>
      <x:c r="M163" s="6" t="n">
        <x:v>4.8441870865</x:v>
      </x:c>
      <x:c r="N163" s="6" t="n">
        <x:v>0</x:v>
      </x:c>
      <x:c r="O163" s="4" t="str">
        <x:v>Glioblastoma</x:v>
      </x:c>
      <x:c r="P163" s="6" t="n">
        <x:v>5</x:v>
      </x:c>
      <x:c r="Q163" s="8" t="n">
        <x:v>0.724201403</x:v>
      </x:c>
      <x:c r="R163" s="6" t="n">
        <x:f>IF(Q163&gt;=Scope!$B$9,1,0)</x:f>
        <x:v>1</x:v>
      </x:c>
      <x:c r="S163" s="8" t="n">
        <x:v>0.7350590164</x:v>
      </x:c>
      <x:c r="T163" s="6" t="n">
        <x:f>IF(S163&gt;=Scope!$B$9,1,0)</x:f>
        <x:v>1</x:v>
      </x:c>
      <x:c r="U163" s="8" t="n">
        <x:v>0.7853403141</x:v>
      </x:c>
      <x:c r="V163" s="6" t="n">
        <x:f>IF(U163&gt;=Scope!$B$9,1,0)</x:f>
        <x:v>1</x:v>
      </x:c>
      <x:c r="W163" s="8" t="n">
        <x:f>(F163-Q163)^2</x:f>
        <x:v>0.5244676721071685</x:v>
      </x:c>
      <x:c r="X163" s="8" t="n">
        <x:f>(F163-S163)^2</x:f>
        <x:v>0.5403117575909355</x:v>
      </x:c>
      <x:c r="Y163" s="8" t="n">
        <x:f>(F163-U163)^2</x:f>
        <x:v>0.6167594089506867</x:v>
      </x:c>
    </x:row>
    <x:row r="164" ht="28" customHeight="1">
      <x:c r="A164" s="4" t="str">
        <x:v>UCSD-PTGBM-0123_03</x:v>
      </x:c>
      <x:c r="B164" s="4" t="str">
        <x:v>UCSD-PTGBM-0123</x:v>
      </x:c>
      <x:c r="C164" s="4" t="str">
        <x:v>BraTS-GLI-02378-102</x:v>
      </x:c>
      <x:c r="D164" s="4" t="str">
        <x:v>BraTS-GLI-02378</x:v>
      </x:c>
      <x:c r="E164" s="4" t="str">
        <x:v>dualid:UCSD-PTGBM-0123</x:v>
      </x:c>
      <x:c r="F164" s="6" t="n">
        <x:v>0</x:v>
      </x:c>
      <x:c r="G164" s="4" t="str">
        <x:v>explicit_negative_case_list</x:v>
      </x:c>
      <x:c r="H164" s="6" t="n">
        <x:v>52</x:v>
      </x:c>
      <x:c r="I164" s="6" t="n">
        <x:v>0</x:v>
      </x:c>
      <x:c r="J164" s="6" t="n">
        <x:v>0</x:v>
      </x:c>
      <x:c r="K164" s="4" t="str">
        <x:v>-380</x:v>
      </x:c>
      <x:c r="L164" s="6" t="n">
        <x:v>380</x:v>
      </x:c>
      <x:c r="M164" s="6" t="n">
        <x:v>5.9427993751</x:v>
      </x:c>
      <x:c r="N164" s="6" t="n">
        <x:v>0</x:v>
      </x:c>
      <x:c r="O164" s="4" t="str">
        <x:v>Glioblastoma</x:v>
      </x:c>
      <x:c r="P164" s="6" t="n">
        <x:v>5</x:v>
      </x:c>
      <x:c r="Q164" s="8" t="n">
        <x:v>0.724201403</x:v>
      </x:c>
      <x:c r="R164" s="6" t="n">
        <x:f>IF(Q164&gt;=Scope!$B$9,1,0)</x:f>
        <x:v>1</x:v>
      </x:c>
      <x:c r="S164" s="8" t="n">
        <x:v>0.6189386776</x:v>
      </x:c>
      <x:c r="T164" s="6" t="n">
        <x:f>IF(S164&gt;=Scope!$B$9,1,0)</x:f>
        <x:v>1</x:v>
      </x:c>
      <x:c r="U164" s="8" t="n">
        <x:v>0.7853403141</x:v>
      </x:c>
      <x:c r="V164" s="6" t="n">
        <x:f>IF(U164&gt;=Scope!$B$9,1,0)</x:f>
        <x:v>1</x:v>
      </x:c>
      <x:c r="W164" s="8" t="n">
        <x:f>(F164-Q164)^2</x:f>
        <x:v>0.5244676721071685</x:v>
      </x:c>
      <x:c r="X164" s="8" t="n">
        <x:f>(F164-S164)^2</x:f>
        <x:v>0.38308508662923674</x:v>
      </x:c>
      <x:c r="Y164" s="8" t="n">
        <x:f>(F164-U164)^2</x:f>
        <x:v>0.6167594089506867</x:v>
      </x:c>
    </x:row>
    <x:row r="165" ht="28" customHeight="1">
      <x:c r="A165" s="4" t="str">
        <x:v>UCSD-PTGBM-0124_01</x:v>
      </x:c>
      <x:c r="B165" s="4" t="str">
        <x:v>UCSD-PTGBM-0124</x:v>
      </x:c>
      <x:c r="C165" s="4" t="str">
        <x:v>BraTS-GLI-02379-100</x:v>
      </x:c>
      <x:c r="D165" s="4" t="str">
        <x:v>BraTS-GLI-02379</x:v>
      </x:c>
      <x:c r="E165" s="4" t="str">
        <x:v>dualid:UCSD-PTGBM-0124</x:v>
      </x:c>
      <x:c r="F165" s="6" t="n">
        <x:v>1</x:v>
      </x:c>
      <x:c r="G165" s="4" t="str">
        <x:v>derived_from_published_243_equals_192_plus_51_partition</x:v>
      </x:c>
      <x:c r="H165" s="6" t="n">
        <x:v>65</x:v>
      </x:c>
      <x:c r="I165" s="6" t="n">
        <x:v>0</x:v>
      </x:c>
      <x:c r="J165" s="6" t="n">
        <x:v>0</x:v>
      </x:c>
      <x:c r="K165" s="4" t="str">
        <x:v>-15</x:v>
      </x:c>
      <x:c r="L165" s="6" t="n">
        <x:v>15</x:v>
      </x:c>
      <x:c r="M165" s="6" t="n">
        <x:v>2.7725887222</x:v>
      </x:c>
      <x:c r="N165" s="6" t="n">
        <x:v>0</x:v>
      </x:c>
      <x:c r="O165" s="4" t="str">
        <x:v>Glioblastoma</x:v>
      </x:c>
      <x:c r="P165" s="6" t="n">
        <x:v>1</x:v>
      </x:c>
      <x:c r="Q165" s="8" t="n">
        <x:v>0.777811007</x:v>
      </x:c>
      <x:c r="R165" s="6" t="n">
        <x:f>IF(Q165&gt;=Scope!$B$9,1,0)</x:f>
        <x:v>1</x:v>
      </x:c>
      <x:c r="S165" s="8" t="n">
        <x:v>0.8681753056</x:v>
      </x:c>
      <x:c r="T165" s="6" t="n">
        <x:f>IF(S165&gt;=Scope!$B$9,1,0)</x:f>
        <x:v>1</x:v>
      </x:c>
      <x:c r="U165" s="8" t="n">
        <x:v>0.7842105263</x:v>
      </x:c>
      <x:c r="V165" s="6" t="n">
        <x:f>IF(U165&gt;=Scope!$B$9,1,0)</x:f>
        <x:v>1</x:v>
      </x:c>
      <x:c r="W165" s="8" t="n">
        <x:f>(F165-Q165)^2</x:f>
        <x:v>0.049367948610354026</x:v>
      </x:c>
      <x:c r="X165" s="8" t="n">
        <x:f>(F165-S165)^2</x:f>
        <x:v>0.01737775005365339</x:v>
      </x:c>
      <x:c r="Y165" s="8" t="n">
        <x:f>(F165-U165)^2</x:f>
        <x:v>0.046565096959722996</x:v>
      </x:c>
    </x:row>
    <x:row r="166" ht="28" customHeight="1">
      <x:c r="A166" s="4" t="str">
        <x:v>UCSD-PTGBM-0124_02</x:v>
      </x:c>
      <x:c r="B166" s="4" t="str">
        <x:v>UCSD-PTGBM-0124</x:v>
      </x:c>
      <x:c r="C166" s="4" t="str">
        <x:v>BraTS-GLI-02379-101</x:v>
      </x:c>
      <x:c r="D166" s="4" t="str">
        <x:v>BraTS-GLI-02379</x:v>
      </x:c>
      <x:c r="E166" s="4" t="str">
        <x:v>dualid:UCSD-PTGBM-0124</x:v>
      </x:c>
      <x:c r="F166" s="6" t="n">
        <x:v>1</x:v>
      </x:c>
      <x:c r="G166" s="4" t="str">
        <x:v>derived_from_published_243_equals_192_plus_51_partition</x:v>
      </x:c>
      <x:c r="H166" s="6" t="n">
        <x:v>65</x:v>
      </x:c>
      <x:c r="I166" s="6" t="n">
        <x:v>0</x:v>
      </x:c>
      <x:c r="J166" s="6" t="n">
        <x:v>0</x:v>
      </x:c>
      <x:c r="K166" s="4" t="str">
        <x:v>-91</x:v>
      </x:c>
      <x:c r="L166" s="6" t="n">
        <x:v>91</x:v>
      </x:c>
      <x:c r="M166" s="6" t="n">
        <x:v>4.521788577</x:v>
      </x:c>
      <x:c r="N166" s="6" t="n">
        <x:v>0</x:v>
      </x:c>
      <x:c r="O166" s="4" t="str">
        <x:v>Glioblastoma</x:v>
      </x:c>
      <x:c r="P166" s="6" t="n">
        <x:v>1</x:v>
      </x:c>
      <x:c r="Q166" s="8" t="n">
        <x:v>0.777811007</x:v>
      </x:c>
      <x:c r="R166" s="6" t="n">
        <x:f>IF(Q166&gt;=Scope!$B$9,1,0)</x:f>
        <x:v>1</x:v>
      </x:c>
      <x:c r="S166" s="8" t="n">
        <x:v>0.7672607535</x:v>
      </x:c>
      <x:c r="T166" s="6" t="n">
        <x:f>IF(S166&gt;=Scope!$B$9,1,0)</x:f>
        <x:v>1</x:v>
      </x:c>
      <x:c r="U166" s="8" t="n">
        <x:v>0.7842105263</x:v>
      </x:c>
      <x:c r="V166" s="6" t="n">
        <x:f>IF(U166&gt;=Scope!$B$9,1,0)</x:f>
        <x:v>1</x:v>
      </x:c>
      <x:c r="W166" s="8" t="n">
        <x:f>(F166-Q166)^2</x:f>
        <x:v>0.049367948610354026</x:v>
      </x:c>
      <x:c r="X166" s="8" t="n">
        <x:f>(F166-S166)^2</x:f>
        <x:v>0.05416755686138776</x:v>
      </x:c>
      <x:c r="Y166" s="8" t="n">
        <x:f>(F166-U166)^2</x:f>
        <x:v>0.046565096959722996</x:v>
      </x:c>
    </x:row>
    <x:row r="167" ht="28" customHeight="1">
      <x:c r="A167" s="4" t="str">
        <x:v>UCSD-PTGBM-0125_01</x:v>
      </x:c>
      <x:c r="B167" s="4" t="str">
        <x:v>UCSD-PTGBM-0125</x:v>
      </x:c>
      <x:c r="C167" s="4" t="str">
        <x:v>BraTS-GLI-02380-100</x:v>
      </x:c>
      <x:c r="D167" s="4" t="str">
        <x:v>BraTS-GLI-02380</x:v>
      </x:c>
      <x:c r="E167" s="4" t="str">
        <x:v>dualid:UCSD-PTGBM-0125</x:v>
      </x:c>
      <x:c r="F167" s="6" t="n">
        <x:v>1</x:v>
      </x:c>
      <x:c r="G167" s="4" t="str">
        <x:v>derived_from_published_243_equals_192_plus_51_partition</x:v>
      </x:c>
      <x:c r="H167" s="6" t="n">
        <x:v>52</x:v>
      </x:c>
      <x:c r="I167" s="6" t="n">
        <x:v>1</x:v>
      </x:c>
      <x:c r="J167" s="6" t="n">
        <x:v>0</x:v>
      </x:c>
      <x:c r="K167" s="4" t="str">
        <x:v>-40</x:v>
      </x:c>
      <x:c r="L167" s="6" t="n">
        <x:v>40</x:v>
      </x:c>
      <x:c r="M167" s="6" t="n">
        <x:v>3.7135720667</x:v>
      </x:c>
      <x:c r="N167" s="6" t="n">
        <x:v>0</x:v>
      </x:c>
      <x:c r="O167" s="4" t="str">
        <x:v>Glioblastoma</x:v>
      </x:c>
      <x:c r="P167" s="6" t="n">
        <x:v>4</x:v>
      </x:c>
      <x:c r="Q167" s="8" t="n">
        <x:v>0.8009867037</x:v>
      </x:c>
      <x:c r="R167" s="6" t="n">
        <x:f>IF(Q167&gt;=Scope!$B$9,1,0)</x:f>
        <x:v>1</x:v>
      </x:c>
      <x:c r="S167" s="8" t="n">
        <x:v>0.8806034117</x:v>
      </x:c>
      <x:c r="T167" s="6" t="n">
        <x:f>IF(S167&gt;=Scope!$B$9,1,0)</x:f>
        <x:v>1</x:v>
      </x:c>
      <x:c r="U167" s="8" t="n">
        <x:v>0.7853403141</x:v>
      </x:c>
      <x:c r="V167" s="6" t="n">
        <x:f>IF(U167&gt;=Scope!$B$9,1,0)</x:f>
        <x:v>1</x:v>
      </x:c>
      <x:c r="W167" s="8" t="n">
        <x:f>(F167-Q167)^2</x:f>
        <x:v>0.03960629210419159</x:v>
      </x:c>
      <x:c r="X167" s="8" t="n">
        <x:f>(F167-S167)^2</x:f>
        <x:v>0.014255545297679697</x:v>
      </x:c>
      <x:c r="Y167" s="8" t="n">
        <x:f>(F167-U167)^2</x:f>
        <x:v>0.04607878075068664</x:v>
      </x:c>
    </x:row>
    <x:row r="168" ht="28" customHeight="1">
      <x:c r="A168" s="4" t="str">
        <x:v>UCSD-PTGBM-0126_01</x:v>
      </x:c>
      <x:c r="B168" s="4" t="str">
        <x:v>UCSD-PTGBM-0126</x:v>
      </x:c>
      <x:c r="C168" s="4" t="str">
        <x:v>BraTS-GLI-02381-100</x:v>
      </x:c>
      <x:c r="D168" s="4" t="str">
        <x:v>BraTS-GLI-02381</x:v>
      </x:c>
      <x:c r="E168" s="4" t="str">
        <x:v>dualid:UCSD-PTGBM-0126</x:v>
      </x:c>
      <x:c r="F168" s="6" t="n">
        <x:v>1</x:v>
      </x:c>
      <x:c r="G168" s="4" t="str">
        <x:v>derived_from_published_243_equals_192_plus_51_partition</x:v>
      </x:c>
      <x:c r="H168" s="6" t="n">
        <x:v>60</x:v>
      </x:c>
      <x:c r="I168" s="6" t="n">
        <x:v>1</x:v>
      </x:c>
      <x:c r="J168" s="6" t="n">
        <x:v>0</x:v>
      </x:c>
      <x:c r="K168" s="4" t="str">
        <x:v>-92</x:v>
      </x:c>
      <x:c r="L168" s="6" t="n">
        <x:v>92</x:v>
      </x:c>
      <x:c r="M168" s="6" t="n">
        <x:v>4.5325994932</x:v>
      </x:c>
      <x:c r="N168" s="6" t="n">
        <x:v>0</x:v>
      </x:c>
      <x:c r="O168" s="4" t="str">
        <x:v>Glioblastoma</x:v>
      </x:c>
      <x:c r="P168" s="6" t="n">
        <x:v>1</x:v>
      </x:c>
      <x:c r="Q168" s="8" t="n">
        <x:v>0.8362168622</x:v>
      </x:c>
      <x:c r="R168" s="6" t="n">
        <x:f>IF(Q168&gt;=Scope!$B$9,1,0)</x:f>
        <x:v>1</x:v>
      </x:c>
      <x:c r="S168" s="8" t="n">
        <x:v>0.8144840447</x:v>
      </x:c>
      <x:c r="T168" s="6" t="n">
        <x:f>IF(S168&gt;=Scope!$B$9,1,0)</x:f>
        <x:v>1</x:v>
      </x:c>
      <x:c r="U168" s="8" t="n">
        <x:v>0.7842105263</x:v>
      </x:c>
      <x:c r="V168" s="6" t="n">
        <x:f>IF(U168&gt;=Scope!$B$9,1,0)</x:f>
        <x:v>1</x:v>
      </x:c>
      <x:c r="W168" s="8" t="n">
        <x:f>(F168-Q168)^2</x:f>
        <x:v>0.026824916227613783</x:v>
      </x:c>
      <x:c r="X168" s="8" t="n">
        <x:f>(F168-S168)^2</x:f>
        <x:v>0.03441616967087159</x:v>
      </x:c>
      <x:c r="Y168" s="8" t="n">
        <x:f>(F168-U168)^2</x:f>
        <x:v>0.046565096959722996</x:v>
      </x:c>
    </x:row>
    <x:row r="169" ht="28" customHeight="1">
      <x:c r="A169" s="4" t="str">
        <x:v>UCSD-PTGBM-0127_01</x:v>
      </x:c>
      <x:c r="B169" s="4" t="str">
        <x:v>UCSD-PTGBM-0127</x:v>
      </x:c>
      <x:c r="C169" s="4" t="str">
        <x:v>BraTS-GLI-02382-100</x:v>
      </x:c>
      <x:c r="D169" s="4" t="str">
        <x:v>BraTS-GLI-02382</x:v>
      </x:c>
      <x:c r="E169" s="4" t="str">
        <x:v>dualid:UCSD-PTGBM-0127</x:v>
      </x:c>
      <x:c r="F169" s="6" t="n">
        <x:v>1</x:v>
      </x:c>
      <x:c r="G169" s="4" t="str">
        <x:v>derived_from_published_243_equals_192_plus_51_partition</x:v>
      </x:c>
      <x:c r="H169" s="6" t="n">
        <x:v>58</x:v>
      </x:c>
      <x:c r="I169" s="6" t="n">
        <x:v>1</x:v>
      </x:c>
      <x:c r="J169" s="6" t="n">
        <x:v>0</x:v>
      </x:c>
      <x:c r="K169" s="4" t="str">
        <x:v>-94</x:v>
      </x:c>
      <x:c r="L169" s="6" t="n">
        <x:v>94</x:v>
      </x:c>
      <x:c r="M169" s="6" t="n">
        <x:v>4.5538768916</x:v>
      </x:c>
      <x:c r="N169" s="6" t="n">
        <x:v>0</x:v>
      </x:c>
      <x:c r="O169" s="4" t="str">
        <x:v>Glioblastoma</x:v>
      </x:c>
      <x:c r="P169" s="6" t="n">
        <x:v>5</x:v>
      </x:c>
      <x:c r="Q169" s="8" t="n">
        <x:v>0.8258962168</x:v>
      </x:c>
      <x:c r="R169" s="6" t="n">
        <x:f>IF(Q169&gt;=Scope!$B$9,1,0)</x:f>
        <x:v>1</x:v>
      </x:c>
      <x:c r="S169" s="8" t="n">
        <x:v>0.8135677401</x:v>
      </x:c>
      <x:c r="T169" s="6" t="n">
        <x:f>IF(S169&gt;=Scope!$B$9,1,0)</x:f>
        <x:v>1</x:v>
      </x:c>
      <x:c r="U169" s="8" t="n">
        <x:v>0.7853403141</x:v>
      </x:c>
      <x:c r="V169" s="6" t="n">
        <x:f>IF(U169&gt;=Scope!$B$9,1,0)</x:f>
        <x:v>1</x:v>
      </x:c>
      <x:c r="W169" s="8" t="n">
        <x:f>(F169-Q169)^2</x:f>
        <x:v>0.030312127324552594</x:v>
      </x:c>
      <x:c r="X169" s="8" t="n">
        <x:f>(F169-S169)^2</x:f>
        <x:v>0.03475698753142115</x:v>
      </x:c>
      <x:c r="Y169" s="8" t="n">
        <x:f>(F169-U169)^2</x:f>
        <x:v>0.04607878075068664</x:v>
      </x:c>
    </x:row>
    <x:row r="170" ht="28" customHeight="1">
      <x:c r="A170" s="4" t="str">
        <x:v>UCSD-PTGBM-0128_01</x:v>
      </x:c>
      <x:c r="B170" s="4" t="str">
        <x:v>UCSD-PTGBM-0128</x:v>
      </x:c>
      <x:c r="C170" s="4" t="str">
        <x:v>BraTS-GLI-02383-100</x:v>
      </x:c>
      <x:c r="D170" s="4" t="str">
        <x:v>BraTS-GLI-02383</x:v>
      </x:c>
      <x:c r="E170" s="4" t="str">
        <x:v>dualid:UCSD-PTGBM-0128</x:v>
      </x:c>
      <x:c r="F170" s="6" t="n">
        <x:v>1</x:v>
      </x:c>
      <x:c r="G170" s="4" t="str">
        <x:v>derived_from_published_243_equals_192_plus_51_partition</x:v>
      </x:c>
      <x:c r="H170" s="6" t="n">
        <x:v>81</x:v>
      </x:c>
      <x:c r="I170" s="6" t="n">
        <x:v>1</x:v>
      </x:c>
      <x:c r="J170" s="6" t="n">
        <x:v>0</x:v>
      </x:c>
      <x:c r="K170" s="4" t="str">
        <x:v>Unknown</x:v>
      </x:c>
      <x:c r="L170" s="6"/>
      <x:c r="M170" s="6"/>
      <x:c r="N170" s="6" t="n">
        <x:v>1</x:v>
      </x:c>
      <x:c r="O170" s="4" t="str">
        <x:v>Glioblastoma</x:v>
      </x:c>
      <x:c r="P170" s="6" t="n">
        <x:v>5</x:v>
      </x:c>
      <x:c r="Q170" s="8" t="n">
        <x:v>0.9086401825</x:v>
      </x:c>
      <x:c r="R170" s="6" t="n">
        <x:f>IF(Q170&gt;=Scope!$B$9,1,0)</x:f>
        <x:v>1</x:v>
      </x:c>
      <x:c r="S170" s="8" t="n">
        <x:v>0.9150463248</x:v>
      </x:c>
      <x:c r="T170" s="6" t="n">
        <x:f>IF(S170&gt;=Scope!$B$9,1,0)</x:f>
        <x:v>1</x:v>
      </x:c>
      <x:c r="U170" s="8" t="n">
        <x:v>0.7853403141</x:v>
      </x:c>
      <x:c r="V170" s="6" t="n">
        <x:f>IF(U170&gt;=Scope!$B$9,1,0)</x:f>
        <x:v>1</x:v>
      </x:c>
      <x:c r="W170" s="8" t="n">
        <x:f>(F170-Q170)^2</x:f>
        <x:v>0.008346616253633305</x:v>
      </x:c>
      <x:c r="X170" s="8" t="n">
        <x:f>(F170-S170)^2</x:f>
        <x:v>0.00721712692998709</x:v>
      </x:c>
      <x:c r="Y170" s="8" t="n">
        <x:f>(F170-U170)^2</x:f>
        <x:v>0.04607878075068664</x:v>
      </x:c>
    </x:row>
    <x:row r="171" ht="28" customHeight="1">
      <x:c r="A171" s="4" t="str">
        <x:v>UCSD-PTGBM-0129_01</x:v>
      </x:c>
      <x:c r="B171" s="4" t="str">
        <x:v>UCSD-PTGBM-0129</x:v>
      </x:c>
      <x:c r="C171" s="4" t="str">
        <x:v>BraTS-GLI-02384-100</x:v>
      </x:c>
      <x:c r="D171" s="4" t="str">
        <x:v>BraTS-GLI-02384</x:v>
      </x:c>
      <x:c r="E171" s="4" t="str">
        <x:v>dualid:UCSD-PTGBM-0129</x:v>
      </x:c>
      <x:c r="F171" s="6" t="n">
        <x:v>1</x:v>
      </x:c>
      <x:c r="G171" s="4" t="str">
        <x:v>derived_from_published_243_equals_192_plus_51_partition</x:v>
      </x:c>
      <x:c r="H171" s="6" t="n">
        <x:v>50</x:v>
      </x:c>
      <x:c r="I171" s="6" t="n">
        <x:v>1</x:v>
      </x:c>
      <x:c r="J171" s="6" t="n">
        <x:v>0</x:v>
      </x:c>
      <x:c r="K171" s="4" t="str">
        <x:v>Unknown</x:v>
      </x:c>
      <x:c r="L171" s="6"/>
      <x:c r="M171" s="6"/>
      <x:c r="N171" s="6" t="n">
        <x:v>1</x:v>
      </x:c>
      <x:c r="O171" s="4" t="str">
        <x:v>Glioblastoma</x:v>
      </x:c>
      <x:c r="P171" s="6" t="n">
        <x:v>2</x:v>
      </x:c>
      <x:c r="Q171" s="8" t="n">
        <x:v>0.7868155425</x:v>
      </x:c>
      <x:c r="R171" s="6" t="n">
        <x:f>IF(Q171&gt;=Scope!$B$9,1,0)</x:f>
        <x:v>1</x:v>
      </x:c>
      <x:c r="S171" s="8" t="n">
        <x:v>0.8793482554</x:v>
      </x:c>
      <x:c r="T171" s="6" t="n">
        <x:f>IF(S171&gt;=Scope!$B$9,1,0)</x:f>
        <x:v>1</x:v>
      </x:c>
      <x:c r="U171" s="8" t="n">
        <x:v>0.7883597884</x:v>
      </x:c>
      <x:c r="V171" s="6" t="n">
        <x:f>IF(U171&gt;=Scope!$B$9,1,0)</x:f>
        <x:v>1</x:v>
      </x:c>
      <x:c r="W171" s="8" t="n">
        <x:f>(F171-Q171)^2</x:f>
        <x:v>0.04544761291956932</x:v>
      </x:c>
      <x:c r="X171" s="8" t="n">
        <x:f>(F171-S171)^2</x:f>
        <x:v>0.014556843475023642</x:v>
      </x:c>
      <x:c r="Y171" s="8" t="n">
        <x:f>(F171-U171)^2</x:f>
        <x:v>0.04479157916609278</x:v>
      </x:c>
    </x:row>
    <x:row r="172" ht="28" customHeight="1">
      <x:c r="A172" s="4" t="str">
        <x:v>UCSD-PTGBM-0130_01</x:v>
      </x:c>
      <x:c r="B172" s="4" t="str">
        <x:v>UCSD-PTGBM-0130</x:v>
      </x:c>
      <x:c r="C172" s="4" t="str">
        <x:v>BraTS-GLI-02385-100</x:v>
      </x:c>
      <x:c r="D172" s="4" t="str">
        <x:v>BraTS-GLI-02385</x:v>
      </x:c>
      <x:c r="E172" s="4" t="str">
        <x:v>dualid:UCSD-PTGBM-0130</x:v>
      </x:c>
      <x:c r="F172" s="6" t="n">
        <x:v>1</x:v>
      </x:c>
      <x:c r="G172" s="4" t="str">
        <x:v>derived_from_published_243_equals_192_plus_51_partition</x:v>
      </x:c>
      <x:c r="H172" s="6" t="n">
        <x:v>50</x:v>
      </x:c>
      <x:c r="I172" s="6" t="n">
        <x:v>1</x:v>
      </x:c>
      <x:c r="J172" s="6" t="n">
        <x:v>1</x:v>
      </x:c>
      <x:c r="K172" s="4" t="str">
        <x:v>-420</x:v>
      </x:c>
      <x:c r="L172" s="6" t="n">
        <x:v>420</x:v>
      </x:c>
      <x:c r="M172" s="6" t="n">
        <x:v>6.0426328337</x:v>
      </x:c>
      <x:c r="N172" s="6" t="n">
        <x:v>0</x:v>
      </x:c>
      <x:c r="O172" s="4" t="str">
        <x:v>Glioblastoma</x:v>
      </x:c>
      <x:c r="P172" s="6" t="n">
        <x:v>3</x:v>
      </x:c>
      <x:c r="Q172" s="8" t="n">
        <x:v>0.7836867978</x:v>
      </x:c>
      <x:c r="R172" s="6" t="n">
        <x:f>IF(Q172&gt;=Scope!$B$9,1,0)</x:f>
        <x:v>1</x:v>
      </x:c>
      <x:c r="S172" s="8" t="n">
        <x:v>0.7548131027</x:v>
      </x:c>
      <x:c r="T172" s="6" t="n">
        <x:f>IF(S172&gt;=Scope!$B$9,1,0)</x:f>
        <x:v>1</x:v>
      </x:c>
      <x:c r="U172" s="8" t="n">
        <x:v>0.7853403141</x:v>
      </x:c>
      <x:c r="V172" s="6" t="n">
        <x:f>IF(U172&gt;=Scope!$B$9,1,0)</x:f>
        <x:v>1</x:v>
      </x:c>
      <x:c r="W172" s="8" t="n">
        <x:f>(F172-Q172)^2</x:f>
        <x:v>0.04679140144601811</x:v>
      </x:c>
      <x:c r="X172" s="8" t="n">
        <x:f>(F172-S172)^2</x:f>
        <x:v>0.06011661460760074</x:v>
      </x:c>
      <x:c r="Y172" s="8" t="n">
        <x:f>(F172-U172)^2</x:f>
        <x:v>0.04607878075068664</x:v>
      </x:c>
    </x:row>
    <x:row r="173" ht="28" customHeight="1">
      <x:c r="A173" s="4" t="str">
        <x:v>UCSD-PTGBM-0131_01</x:v>
      </x:c>
      <x:c r="B173" s="4" t="str">
        <x:v>UCSD-PTGBM-0131</x:v>
      </x:c>
      <x:c r="C173" s="4" t="str">
        <x:v>BraTS-GLI-02386-100</x:v>
      </x:c>
      <x:c r="D173" s="4" t="str">
        <x:v>BraTS-GLI-02386</x:v>
      </x:c>
      <x:c r="E173" s="4" t="str">
        <x:v>dualid:UCSD-PTGBM-0131</x:v>
      </x:c>
      <x:c r="F173" s="6" t="n">
        <x:v>1</x:v>
      </x:c>
      <x:c r="G173" s="4" t="str">
        <x:v>derived_from_published_243_equals_192_plus_51_partition</x:v>
      </x:c>
      <x:c r="H173" s="6" t="n">
        <x:v>38</x:v>
      </x:c>
      <x:c r="I173" s="6" t="n">
        <x:v>1</x:v>
      </x:c>
      <x:c r="J173" s="6" t="n">
        <x:v>0</x:v>
      </x:c>
      <x:c r="K173" s="4" t="str">
        <x:v>-191</x:v>
      </x:c>
      <x:c r="L173" s="6" t="n">
        <x:v>191</x:v>
      </x:c>
      <x:c r="M173" s="6" t="n">
        <x:v>5.257495372</x:v>
      </x:c>
      <x:c r="N173" s="6" t="n">
        <x:v>0</x:v>
      </x:c>
      <x:c r="O173" s="4" t="str">
        <x:v>Glioblastoma</x:v>
      </x:c>
      <x:c r="P173" s="6" t="n">
        <x:v>3</x:v>
      </x:c>
      <x:c r="Q173" s="8" t="n">
        <x:v>0.7235440184</x:v>
      </x:c>
      <x:c r="R173" s="6" t="n">
        <x:f>IF(Q173&gt;=Scope!$B$9,1,0)</x:f>
        <x:v>1</x:v>
      </x:c>
      <x:c r="S173" s="8" t="n">
        <x:v>0.6765080233</x:v>
      </x:c>
      <x:c r="T173" s="6" t="n">
        <x:f>IF(S173&gt;=Scope!$B$9,1,0)</x:f>
        <x:v>1</x:v>
      </x:c>
      <x:c r="U173" s="8" t="n">
        <x:v>0.7853403141</x:v>
      </x:c>
      <x:c r="V173" s="6" t="n">
        <x:f>IF(U173&gt;=Scope!$B$9,1,0)</x:f>
        <x:v>1</x:v>
      </x:c>
      <x:c r="W173" s="8" t="n">
        <x:f>(F173-Q173)^2</x:f>
        <x:v>0.07642790976241952</x:v>
      </x:c>
      <x:c r="X173" s="8" t="n">
        <x:f>(F173-S173)^2</x:f>
        <x:v>0.10464705898927332</x:v>
      </x:c>
      <x:c r="Y173" s="8" t="n">
        <x:f>(F173-U173)^2</x:f>
        <x:v>0.04607878075068664</x:v>
      </x:c>
    </x:row>
    <x:row r="174" ht="28" customHeight="1">
      <x:c r="A174" s="4" t="str">
        <x:v>UCSD-PTGBM-0132_01</x:v>
      </x:c>
      <x:c r="B174" s="4" t="str">
        <x:v>UCSD-PTGBM-0132</x:v>
      </x:c>
      <x:c r="C174" s="4" t="str">
        <x:v>BraTS-GLI-02387-100</x:v>
      </x:c>
      <x:c r="D174" s="4" t="str">
        <x:v>BraTS-GLI-02387</x:v>
      </x:c>
      <x:c r="E174" s="4" t="str">
        <x:v>dualid:UCSD-PTGBM-0132</x:v>
      </x:c>
      <x:c r="F174" s="6" t="n">
        <x:v>1</x:v>
      </x:c>
      <x:c r="G174" s="4" t="str">
        <x:v>derived_from_published_243_equals_192_plus_51_partition</x:v>
      </x:c>
      <x:c r="H174" s="6" t="n">
        <x:v>69</x:v>
      </x:c>
      <x:c r="I174" s="6" t="n">
        <x:v>1</x:v>
      </x:c>
      <x:c r="J174" s="6" t="n">
        <x:v>0</x:v>
      </x:c>
      <x:c r="K174" s="4" t="str">
        <x:v>-26</x:v>
      </x:c>
      <x:c r="L174" s="6" t="n">
        <x:v>26</x:v>
      </x:c>
      <x:c r="M174" s="6" t="n">
        <x:v>3.295836866</x:v>
      </x:c>
      <x:c r="N174" s="6" t="n">
        <x:v>0</x:v>
      </x:c>
      <x:c r="O174" s="4" t="str">
        <x:v>Glioblastoma</x:v>
      </x:c>
      <x:c r="P174" s="6" t="n">
        <x:v>2</x:v>
      </x:c>
      <x:c r="Q174" s="8" t="n">
        <x:v>0.8604963988</x:v>
      </x:c>
      <x:c r="R174" s="6" t="n">
        <x:f>IF(Q174&gt;=Scope!$B$9,1,0)</x:f>
        <x:v>1</x:v>
      </x:c>
      <x:c r="S174" s="8" t="n">
        <x:v>0.8882835739</x:v>
      </x:c>
      <x:c r="T174" s="6" t="n">
        <x:f>IF(S174&gt;=Scope!$B$9,1,0)</x:f>
        <x:v>1</x:v>
      </x:c>
      <x:c r="U174" s="8" t="n">
        <x:v>0.7883597884</x:v>
      </x:c>
      <x:c r="V174" s="6" t="n">
        <x:f>IF(U174&gt;=Scope!$B$9,1,0)</x:f>
        <x:v>1</x:v>
      </x:c>
      <x:c r="W174" s="8" t="n">
        <x:f>(F174-Q174)^2</x:f>
        <x:v>0.019461254747768657</x:v>
      </x:c>
      <x:c r="X174" s="8" t="n">
        <x:f>(F174-S174)^2</x:f>
        <x:v>0.012480559860556758</x:v>
      </x:c>
      <x:c r="Y174" s="8" t="n">
        <x:f>(F174-U174)^2</x:f>
        <x:v>0.04479157916609278</x:v>
      </x:c>
    </x:row>
    <x:row r="175" ht="28" customHeight="1">
      <x:c r="A175" s="4" t="str">
        <x:v>UCSD-PTGBM-0133_01</x:v>
      </x:c>
      <x:c r="B175" s="4" t="str">
        <x:v>UCSD-PTGBM-0133</x:v>
      </x:c>
      <x:c r="C175" s="4" t="str">
        <x:v>BraTS-GLI-02388-100</x:v>
      </x:c>
      <x:c r="D175" s="4" t="str">
        <x:v>BraTS-GLI-02388</x:v>
      </x:c>
      <x:c r="E175" s="4" t="str">
        <x:v>dualid:UCSD-PTGBM-0133</x:v>
      </x:c>
      <x:c r="F175" s="6" t="n">
        <x:v>1</x:v>
      </x:c>
      <x:c r="G175" s="4" t="str">
        <x:v>derived_from_published_243_equals_192_plus_51_partition</x:v>
      </x:c>
      <x:c r="H175" s="6" t="n">
        <x:v>62</x:v>
      </x:c>
      <x:c r="I175" s="6" t="n">
        <x:v>1</x:v>
      </x:c>
      <x:c r="J175" s="6" t="n">
        <x:v>1</x:v>
      </x:c>
      <x:c r="K175" s="4" t="str">
        <x:v>Unknown</x:v>
      </x:c>
      <x:c r="L175" s="6"/>
      <x:c r="M175" s="6"/>
      <x:c r="N175" s="6" t="n">
        <x:v>1</x:v>
      </x:c>
      <x:c r="O175" s="4" t="str">
        <x:v>Glioblastoma</x:v>
      </x:c>
      <x:c r="P175" s="6" t="n">
        <x:v>1</x:v>
      </x:c>
      <x:c r="Q175" s="8" t="n">
        <x:v>0.8432380868</x:v>
      </x:c>
      <x:c r="R175" s="6" t="n">
        <x:f>IF(Q175&gt;=Scope!$B$9,1,0)</x:f>
        <x:v>1</x:v>
      </x:c>
      <x:c r="S175" s="8" t="n">
        <x:v>0.9439271384</x:v>
      </x:c>
      <x:c r="T175" s="6" t="n">
        <x:f>IF(S175&gt;=Scope!$B$9,1,0)</x:f>
        <x:v>1</x:v>
      </x:c>
      <x:c r="U175" s="8" t="n">
        <x:v>0.7842105263</x:v>
      </x:c>
      <x:c r="V175" s="6" t="n">
        <x:f>IF(U175&gt;=Scope!$B$9,1,0)</x:f>
        <x:v>1</x:v>
      </x:c>
      <x:c r="W175" s="8" t="n">
        <x:f>(F175-Q175)^2</x:f>
        <x:v>0.02457429743012433</x:v>
      </x:c>
      <x:c r="X175" s="8" t="n">
        <x:f>(F175-S175)^2</x:f>
        <x:v>0.0031441658080127574</x:v>
      </x:c>
      <x:c r="Y175" s="8" t="n">
        <x:f>(F175-U175)^2</x:f>
        <x:v>0.046565096959722996</x:v>
      </x:c>
    </x:row>
    <x:row r="176" ht="28" customHeight="1">
      <x:c r="A176" s="4" t="str">
        <x:v>UCSD-PTGBM-0133_02</x:v>
      </x:c>
      <x:c r="B176" s="4" t="str">
        <x:v>UCSD-PTGBM-0133</x:v>
      </x:c>
      <x:c r="C176" s="4" t="str">
        <x:v>BraTS-GLI-02388-101</x:v>
      </x:c>
      <x:c r="D176" s="4" t="str">
        <x:v>BraTS-GLI-02388</x:v>
      </x:c>
      <x:c r="E176" s="4" t="str">
        <x:v>dualid:UCSD-PTGBM-0133</x:v>
      </x:c>
      <x:c r="F176" s="6" t="n">
        <x:v>1</x:v>
      </x:c>
      <x:c r="G176" s="4" t="str">
        <x:v>derived_from_published_243_equals_192_plus_51_partition</x:v>
      </x:c>
      <x:c r="H176" s="6" t="n">
        <x:v>62</x:v>
      </x:c>
      <x:c r="I176" s="6" t="n">
        <x:v>1</x:v>
      </x:c>
      <x:c r="J176" s="6" t="n">
        <x:v>1</x:v>
      </x:c>
      <x:c r="K176" s="4" t="str">
        <x:v>-188</x:v>
      </x:c>
      <x:c r="L176" s="6" t="n">
        <x:v>188</x:v>
      </x:c>
      <x:c r="M176" s="6" t="n">
        <x:v>5.2417470151</x:v>
      </x:c>
      <x:c r="N176" s="6" t="n">
        <x:v>0</x:v>
      </x:c>
      <x:c r="O176" s="4" t="str">
        <x:v>Glioblastoma</x:v>
      </x:c>
      <x:c r="P176" s="6" t="n">
        <x:v>1</x:v>
      </x:c>
      <x:c r="Q176" s="8" t="n">
        <x:v>0.8432380868</x:v>
      </x:c>
      <x:c r="R176" s="6" t="n">
        <x:f>IF(Q176&gt;=Scope!$B$9,1,0)</x:f>
        <x:v>1</x:v>
      </x:c>
      <x:c r="S176" s="8" t="n">
        <x:v>0.8629471902</x:v>
      </x:c>
      <x:c r="T176" s="6" t="n">
        <x:f>IF(S176&gt;=Scope!$B$9,1,0)</x:f>
        <x:v>1</x:v>
      </x:c>
      <x:c r="U176" s="8" t="n">
        <x:v>0.7842105263</x:v>
      </x:c>
      <x:c r="V176" s="6" t="n">
        <x:f>IF(U176&gt;=Scope!$B$9,1,0)</x:f>
        <x:v>1</x:v>
      </x:c>
      <x:c r="W176" s="8" t="n">
        <x:f>(F176-Q176)^2</x:f>
        <x:v>0.02457429743012433</x:v>
      </x:c>
      <x:c r="X176" s="8" t="n">
        <x:f>(F176-S176)^2</x:f>
        <x:v>0.01878347267407498</x:v>
      </x:c>
      <x:c r="Y176" s="8" t="n">
        <x:f>(F176-U176)^2</x:f>
        <x:v>0.046565096959722996</x:v>
      </x:c>
    </x:row>
    <x:row r="177" ht="28" customHeight="1">
      <x:c r="A177" s="4" t="str">
        <x:v>UCSD-PTGBM-0134_01</x:v>
      </x:c>
      <x:c r="B177" s="4" t="str">
        <x:v>UCSD-PTGBM-0134</x:v>
      </x:c>
      <x:c r="C177" s="4" t="str">
        <x:v>BraTS-GLI-02389-100</x:v>
      </x:c>
      <x:c r="D177" s="4" t="str">
        <x:v>BraTS-GLI-02389</x:v>
      </x:c>
      <x:c r="E177" s="4" t="str">
        <x:v>dualid:UCSD-PTGBM-0134</x:v>
      </x:c>
      <x:c r="F177" s="6" t="n">
        <x:v>0</x:v>
      </x:c>
      <x:c r="G177" s="4" t="str">
        <x:v>explicit_negative_case_list</x:v>
      </x:c>
      <x:c r="H177" s="6" t="n">
        <x:v>45</x:v>
      </x:c>
      <x:c r="I177" s="6" t="n">
        <x:v>0</x:v>
      </x:c>
      <x:c r="J177" s="6" t="n">
        <x:v>0</x:v>
      </x:c>
      <x:c r="K177" s="4" t="str">
        <x:v>-358</x:v>
      </x:c>
      <x:c r="L177" s="6" t="n">
        <x:v>358</x:v>
      </x:c>
      <x:c r="M177" s="6" t="n">
        <x:v>5.8833223885</x:v>
      </x:c>
      <x:c r="N177" s="6" t="n">
        <x:v>0</x:v>
      </x:c>
      <x:c r="O177" s="4" t="str">
        <x:v>Oligoastrocytoma</x:v>
      </x:c>
      <x:c r="P177" s="6" t="n">
        <x:v>5</x:v>
      </x:c>
      <x:c r="Q177" s="8" t="n">
        <x:v>0.6770138051</x:v>
      </x:c>
      <x:c r="R177" s="6" t="n">
        <x:f>IF(Q177&gt;=Scope!$B$9,1,0)</x:f>
        <x:v>1</x:v>
      </x:c>
      <x:c r="S177" s="8" t="n">
        <x:v>0.593372858</x:v>
      </x:c>
      <x:c r="T177" s="6" t="n">
        <x:f>IF(S177&gt;=Scope!$B$9,1,0)</x:f>
        <x:v>1</x:v>
      </x:c>
      <x:c r="U177" s="8" t="n">
        <x:v>0.7853403141</x:v>
      </x:c>
      <x:c r="V177" s="6" t="n">
        <x:f>IF(U177&gt;=Scope!$B$9,1,0)</x:f>
        <x:v>1</x:v>
      </x:c>
      <x:c r="W177" s="8" t="n">
        <x:f>(F177-Q177)^2</x:f>
        <x:v>0.45834769229598077</x:v>
      </x:c>
      <x:c r="X177" s="8" t="n">
        <x:f>(F177-S177)^2</x:f>
        <x:v>0.3520913486110881</x:v>
      </x:c>
      <x:c r="Y177" s="8" t="n">
        <x:f>(F177-U177)^2</x:f>
        <x:v>0.6167594089506867</x:v>
      </x:c>
    </x:row>
    <x:row r="178" ht="28" customHeight="1">
      <x:c r="A178" s="4" t="str">
        <x:v>UCSD-PTGBM-0135_01</x:v>
      </x:c>
      <x:c r="B178" s="4" t="str">
        <x:v>UCSD-PTGBM-0135</x:v>
      </x:c>
      <x:c r="C178" s="4" t="str">
        <x:v>BraTS-GLI-02390-100</x:v>
      </x:c>
      <x:c r="D178" s="4" t="str">
        <x:v>BraTS-GLI-02390</x:v>
      </x:c>
      <x:c r="E178" s="4" t="str">
        <x:v>dualid:UCSD-PTGBM-0135</x:v>
      </x:c>
      <x:c r="F178" s="6" t="n">
        <x:v>1</x:v>
      </x:c>
      <x:c r="G178" s="4" t="str">
        <x:v>derived_from_published_243_equals_192_plus_51_partition</x:v>
      </x:c>
      <x:c r="H178" s="6" t="n">
        <x:v>39</x:v>
      </x:c>
      <x:c r="I178" s="6" t="n">
        <x:v>1</x:v>
      </x:c>
      <x:c r="J178" s="6" t="n">
        <x:v>0</x:v>
      </x:c>
      <x:c r="K178" s="4" t="str">
        <x:v>-281</x:v>
      </x:c>
      <x:c r="L178" s="6" t="n">
        <x:v>281</x:v>
      </x:c>
      <x:c r="M178" s="6" t="n">
        <x:v>5.6419070709</x:v>
      </x:c>
      <x:c r="N178" s="6" t="n">
        <x:v>0</x:v>
      </x:c>
      <x:c r="O178" s="4" t="str">
        <x:v>Glioblastoma</x:v>
      </x:c>
      <x:c r="P178" s="6" t="n">
        <x:v>3</x:v>
      </x:c>
      <x:c r="Q178" s="8" t="n">
        <x:v>0.728931354</x:v>
      </x:c>
      <x:c r="R178" s="6" t="n">
        <x:f>IF(Q178&gt;=Scope!$B$9,1,0)</x:f>
        <x:v>1</x:v>
      </x:c>
      <x:c r="S178" s="8" t="n">
        <x:v>0.6349617554</x:v>
      </x:c>
      <x:c r="T178" s="6" t="n">
        <x:f>IF(S178&gt;=Scope!$B$9,1,0)</x:f>
        <x:v>1</x:v>
      </x:c>
      <x:c r="U178" s="8" t="n">
        <x:v>0.7853403141</x:v>
      </x:c>
      <x:c r="V178" s="6" t="n">
        <x:f>IF(U178&gt;=Scope!$B$9,1,0)</x:f>
        <x:v>1</x:v>
      </x:c>
      <x:c r="W178" s="8" t="n">
        <x:f>(F178-Q178)^2</x:f>
        <x:v>0.07347821084427333</x:v>
      </x:c>
      <x:c r="X178" s="8" t="n">
        <x:f>(F178-S178)^2</x:f>
        <x:v>0.13325292002064942</x:v>
      </x:c>
      <x:c r="Y178" s="8" t="n">
        <x:f>(F178-U178)^2</x:f>
        <x:v>0.04607878075068664</x:v>
      </x:c>
    </x:row>
    <x:row r="179" ht="28" customHeight="1">
      <x:c r="A179" s="4" t="str">
        <x:v>UCSD-PTGBM-0135_02</x:v>
      </x:c>
      <x:c r="B179" s="4" t="str">
        <x:v>UCSD-PTGBM-0135</x:v>
      </x:c>
      <x:c r="C179" s="4" t="str">
        <x:v>BraTS-GLI-02390-101</x:v>
      </x:c>
      <x:c r="D179" s="4" t="str">
        <x:v>BraTS-GLI-02390</x:v>
      </x:c>
      <x:c r="E179" s="4" t="str">
        <x:v>dualid:UCSD-PTGBM-0135</x:v>
      </x:c>
      <x:c r="F179" s="6" t="n">
        <x:v>0</x:v>
      </x:c>
      <x:c r="G179" s="4" t="str">
        <x:v>explicit_negative_case_list</x:v>
      </x:c>
      <x:c r="H179" s="6" t="n">
        <x:v>39</x:v>
      </x:c>
      <x:c r="I179" s="6" t="n">
        <x:v>1</x:v>
      </x:c>
      <x:c r="J179" s="6" t="n">
        <x:v>0</x:v>
      </x:c>
      <x:c r="K179" s="4" t="str">
        <x:v>-463</x:v>
      </x:c>
      <x:c r="L179" s="6" t="n">
        <x:v>463</x:v>
      </x:c>
      <x:c r="M179" s="6" t="n">
        <x:v>6.1398845522</x:v>
      </x:c>
      <x:c r="N179" s="6" t="n">
        <x:v>0</x:v>
      </x:c>
      <x:c r="O179" s="4" t="str">
        <x:v>Glioblastoma</x:v>
      </x:c>
      <x:c r="P179" s="6" t="n">
        <x:v>3</x:v>
      </x:c>
      <x:c r="Q179" s="8" t="n">
        <x:v>0.728931354</x:v>
      </x:c>
      <x:c r="R179" s="6" t="n">
        <x:f>IF(Q179&gt;=Scope!$B$9,1,0)</x:f>
        <x:v>1</x:v>
      </x:c>
      <x:c r="S179" s="8" t="n">
        <x:v>0.5735645988</x:v>
      </x:c>
      <x:c r="T179" s="6" t="n">
        <x:f>IF(S179&gt;=Scope!$B$9,1,0)</x:f>
        <x:v>1</x:v>
      </x:c>
      <x:c r="U179" s="8" t="n">
        <x:v>0.7853403141</x:v>
      </x:c>
      <x:c r="V179" s="6" t="n">
        <x:f>IF(U179&gt;=Scope!$B$9,1,0)</x:f>
        <x:v>1</x:v>
      </x:c>
      <x:c r="W179" s="8" t="n">
        <x:f>(F179-Q179)^2</x:f>
        <x:v>0.5313409188442733</x:v>
      </x:c>
      <x:c r="X179" s="8" t="n">
        <x:f>(F179-S179)^2</x:f>
        <x:v>0.32897634899660494</x:v>
      </x:c>
      <x:c r="Y179" s="8" t="n">
        <x:f>(F179-U179)^2</x:f>
        <x:v>0.6167594089506867</x:v>
      </x:c>
    </x:row>
    <x:row r="180" ht="28" customHeight="1">
      <x:c r="A180" s="4" t="str">
        <x:v>UCSD-PTGBM-0135_03</x:v>
      </x:c>
      <x:c r="B180" s="4" t="str">
        <x:v>UCSD-PTGBM-0135</x:v>
      </x:c>
      <x:c r="C180" s="4" t="str">
        <x:v>BraTS-GLI-02390-102</x:v>
      </x:c>
      <x:c r="D180" s="4" t="str">
        <x:v>BraTS-GLI-02390</x:v>
      </x:c>
      <x:c r="E180" s="4" t="str">
        <x:v>dualid:UCSD-PTGBM-0135</x:v>
      </x:c>
      <x:c r="F180" s="6" t="n">
        <x:v>0</x:v>
      </x:c>
      <x:c r="G180" s="4" t="str">
        <x:v>explicit_negative_case_list</x:v>
      </x:c>
      <x:c r="H180" s="6" t="n">
        <x:v>39</x:v>
      </x:c>
      <x:c r="I180" s="6" t="n">
        <x:v>1</x:v>
      </x:c>
      <x:c r="J180" s="6" t="n">
        <x:v>0</x:v>
      </x:c>
      <x:c r="K180" s="4" t="str">
        <x:v>-841</x:v>
      </x:c>
      <x:c r="L180" s="6" t="n">
        <x:v>841</x:v>
      </x:c>
      <x:c r="M180" s="6" t="n">
        <x:v>6.7357800142</x:v>
      </x:c>
      <x:c r="N180" s="6" t="n">
        <x:v>0</x:v>
      </x:c>
      <x:c r="O180" s="4" t="str">
        <x:v>Glioblastoma</x:v>
      </x:c>
      <x:c r="P180" s="6" t="n">
        <x:v>3</x:v>
      </x:c>
      <x:c r="Q180" s="8" t="n">
        <x:v>0.728931354</x:v>
      </x:c>
      <x:c r="R180" s="6" t="n">
        <x:f>IF(Q180&gt;=Scope!$B$9,1,0)</x:f>
        <x:v>1</x:v>
      </x:c>
      <x:c r="S180" s="8" t="n">
        <x:v>0.4971731251</x:v>
      </x:c>
      <x:c r="T180" s="6" t="n">
        <x:f>IF(S180&gt;=Scope!$B$9,1,0)</x:f>
        <x:v>0</x:v>
      </x:c>
      <x:c r="U180" s="8" t="n">
        <x:v>0.7853403141</x:v>
      </x:c>
      <x:c r="V180" s="6" t="n">
        <x:f>IF(U180&gt;=Scope!$B$9,1,0)</x:f>
        <x:v>1</x:v>
      </x:c>
      <x:c r="W180" s="8" t="n">
        <x:f>(F180-Q180)^2</x:f>
        <x:v>0.5313409188442733</x:v>
      </x:c>
      <x:c r="X180" s="8" t="n">
        <x:f>(F180-S180)^2</x:f>
        <x:v>0.24718111632170026</x:v>
      </x:c>
      <x:c r="Y180" s="8" t="n">
        <x:f>(F180-U180)^2</x:f>
        <x:v>0.6167594089506867</x:v>
      </x:c>
    </x:row>
    <x:row r="181" ht="28" customHeight="1">
      <x:c r="A181" s="4" t="str">
        <x:v>UCSD-PTGBM-0136_01</x:v>
      </x:c>
      <x:c r="B181" s="4" t="str">
        <x:v>UCSD-PTGBM-0136</x:v>
      </x:c>
      <x:c r="C181" s="4" t="str">
        <x:v>BraTS-GLI-02391-100</x:v>
      </x:c>
      <x:c r="D181" s="4" t="str">
        <x:v>BraTS-GLI-02391</x:v>
      </x:c>
      <x:c r="E181" s="4" t="str">
        <x:v>dualid:UCSD-PTGBM-0136</x:v>
      </x:c>
      <x:c r="F181" s="6" t="n">
        <x:v>1</x:v>
      </x:c>
      <x:c r="G181" s="4" t="str">
        <x:v>derived_from_published_243_equals_192_plus_51_partition</x:v>
      </x:c>
      <x:c r="H181" s="6" t="n">
        <x:v>49</x:v>
      </x:c>
      <x:c r="I181" s="6" t="n">
        <x:v>1</x:v>
      </x:c>
      <x:c r="J181" s="6" t="n">
        <x:v>0</x:v>
      </x:c>
      <x:c r="K181" s="4" t="str">
        <x:v>-27</x:v>
      </x:c>
      <x:c r="L181" s="6" t="n">
        <x:v>27</x:v>
      </x:c>
      <x:c r="M181" s="6" t="n">
        <x:v>3.3322045102</x:v>
      </x:c>
      <x:c r="N181" s="6" t="n">
        <x:v>0</x:v>
      </x:c>
      <x:c r="O181" s="4" t="str">
        <x:v>Glioblastoma</x:v>
      </x:c>
      <x:c r="P181" s="6" t="n">
        <x:v>4</x:v>
      </x:c>
      <x:c r="Q181" s="8" t="n">
        <x:v>0.7844863106</x:v>
      </x:c>
      <x:c r="R181" s="6" t="n">
        <x:f>IF(Q181&gt;=Scope!$B$9,1,0)</x:f>
        <x:v>1</x:v>
      </x:c>
      <x:c r="S181" s="8" t="n">
        <x:v>0.896644262</x:v>
      </x:c>
      <x:c r="T181" s="6" t="n">
        <x:f>IF(S181&gt;=Scope!$B$9,1,0)</x:f>
        <x:v>1</x:v>
      </x:c>
      <x:c r="U181" s="8" t="n">
        <x:v>0.7853403141</x:v>
      </x:c>
      <x:c r="V181" s="6" t="n">
        <x:f>IF(U181&gt;=Scope!$B$9,1,0)</x:f>
        <x:v>1</x:v>
      </x:c>
      <x:c r="W181" s="8" t="n">
        <x:f>(F181-Q181)^2</x:f>
        <x:v>0.046446150318799694</x:v>
      </x:c>
      <x:c r="X181" s="8" t="n">
        <x:f>(F181-S181)^2</x:f>
        <x:v>0.010682408577524638</x:v>
      </x:c>
      <x:c r="Y181" s="8" t="n">
        <x:f>(F181-U181)^2</x:f>
        <x:v>0.04607878075068664</x:v>
      </x:c>
    </x:row>
    <x:row r="182" ht="28" customHeight="1">
      <x:c r="A182" s="4" t="str">
        <x:v>UCSD-PTGBM-0137_01</x:v>
      </x:c>
      <x:c r="B182" s="4" t="str">
        <x:v>UCSD-PTGBM-0137</x:v>
      </x:c>
      <x:c r="C182" s="4" t="str">
        <x:v>BraTS-GLI-02392-100</x:v>
      </x:c>
      <x:c r="D182" s="4" t="str">
        <x:v>BraTS-GLI-02392</x:v>
      </x:c>
      <x:c r="E182" s="4" t="str">
        <x:v>dualid:UCSD-PTGBM-0137</x:v>
      </x:c>
      <x:c r="F182" s="6" t="n">
        <x:v>1</x:v>
      </x:c>
      <x:c r="G182" s="4" t="str">
        <x:v>derived_from_published_243_equals_192_plus_51_partition</x:v>
      </x:c>
      <x:c r="H182" s="6" t="n">
        <x:v>62</x:v>
      </x:c>
      <x:c r="I182" s="6" t="n">
        <x:v>1</x:v>
      </x:c>
      <x:c r="J182" s="6" t="n">
        <x:v>0</x:v>
      </x:c>
      <x:c r="K182" s="4" t="str">
        <x:v>Unknown</x:v>
      </x:c>
      <x:c r="L182" s="6"/>
      <x:c r="M182" s="6"/>
      <x:c r="N182" s="6" t="n">
        <x:v>1</x:v>
      </x:c>
      <x:c r="O182" s="4" t="str">
        <x:v>Glioblastoma</x:v>
      </x:c>
      <x:c r="P182" s="6" t="n">
        <x:v>1</x:v>
      </x:c>
      <x:c r="Q182" s="8" t="n">
        <x:v>0.8432380868</x:v>
      </x:c>
      <x:c r="R182" s="6" t="n">
        <x:f>IF(Q182&gt;=Scope!$B$9,1,0)</x:f>
        <x:v>1</x:v>
      </x:c>
      <x:c r="S182" s="8" t="n">
        <x:v>0.9010633871</x:v>
      </x:c>
      <x:c r="T182" s="6" t="n">
        <x:f>IF(S182&gt;=Scope!$B$9,1,0)</x:f>
        <x:v>1</x:v>
      </x:c>
      <x:c r="U182" s="8" t="n">
        <x:v>0.7842105263</x:v>
      </x:c>
      <x:c r="V182" s="6" t="n">
        <x:f>IF(U182&gt;=Scope!$B$9,1,0)</x:f>
        <x:v>1</x:v>
      </x:c>
      <x:c r="W182" s="8" t="n">
        <x:f>(F182-Q182)^2</x:f>
        <x:v>0.02457429743012433</x:v>
      </x:c>
      <x:c r="X182" s="8" t="n">
        <x:f>(F182-S182)^2</x:f>
        <x:v>0.009788453372124447</x:v>
      </x:c>
      <x:c r="Y182" s="8" t="n">
        <x:f>(F182-U182)^2</x:f>
        <x:v>0.046565096959722996</x:v>
      </x:c>
    </x:row>
    <x:row r="183" ht="28" customHeight="1">
      <x:c r="A183" s="4" t="str">
        <x:v>UCSD-PTGBM-0137_02</x:v>
      </x:c>
      <x:c r="B183" s="4" t="str">
        <x:v>UCSD-PTGBM-0137</x:v>
      </x:c>
      <x:c r="C183" s="4" t="str">
        <x:v>BraTS-GLI-02392-101</x:v>
      </x:c>
      <x:c r="D183" s="4" t="str">
        <x:v>BraTS-GLI-02392</x:v>
      </x:c>
      <x:c r="E183" s="4" t="str">
        <x:v>dualid:UCSD-PTGBM-0137</x:v>
      </x:c>
      <x:c r="F183" s="6" t="n">
        <x:v>1</x:v>
      </x:c>
      <x:c r="G183" s="4" t="str">
        <x:v>derived_from_published_243_equals_192_plus_51_partition</x:v>
      </x:c>
      <x:c r="H183" s="6" t="n">
        <x:v>62</x:v>
      </x:c>
      <x:c r="I183" s="6" t="n">
        <x:v>1</x:v>
      </x:c>
      <x:c r="J183" s="6" t="n">
        <x:v>0</x:v>
      </x:c>
      <x:c r="K183" s="4" t="str">
        <x:v>-163</x:v>
      </x:c>
      <x:c r="L183" s="6" t="n">
        <x:v>163</x:v>
      </x:c>
      <x:c r="M183" s="6" t="n">
        <x:v>5.0998664278</x:v>
      </x:c>
      <x:c r="N183" s="6" t="n">
        <x:v>0</x:v>
      </x:c>
      <x:c r="O183" s="4" t="str">
        <x:v>Glioblastoma</x:v>
      </x:c>
      <x:c r="P183" s="6" t="n">
        <x:v>1</x:v>
      </x:c>
      <x:c r="Q183" s="8" t="n">
        <x:v>0.8432380868</x:v>
      </x:c>
      <x:c r="R183" s="6" t="n">
        <x:f>IF(Q183&gt;=Scope!$B$9,1,0)</x:f>
        <x:v>1</x:v>
      </x:c>
      <x:c r="S183" s="8" t="n">
        <x:v>0.7827588608</x:v>
      </x:c>
      <x:c r="T183" s="6" t="n">
        <x:f>IF(S183&gt;=Scope!$B$9,1,0)</x:f>
        <x:v>1</x:v>
      </x:c>
      <x:c r="U183" s="8" t="n">
        <x:v>0.7842105263</x:v>
      </x:c>
      <x:c r="V183" s="6" t="n">
        <x:f>IF(U183&gt;=Scope!$B$9,1,0)</x:f>
        <x:v>1</x:v>
      </x:c>
      <x:c r="W183" s="8" t="n">
        <x:f>(F183-Q183)^2</x:f>
        <x:v>0.02457429743012433</x:v>
      </x:c>
      <x:c r="X183" s="8" t="n">
        <x:f>(F183-S183)^2</x:f>
        <x:v>0.04719371256091377</x:v>
      </x:c>
      <x:c r="Y183" s="8" t="n">
        <x:f>(F183-U183)^2</x:f>
        <x:v>0.046565096959722996</x:v>
      </x:c>
    </x:row>
    <x:row r="184" ht="28" customHeight="1">
      <x:c r="A184" s="4" t="str">
        <x:v>UCSD-PTGBM-0138_01</x:v>
      </x:c>
      <x:c r="B184" s="4" t="str">
        <x:v>UCSD-PTGBM-0138</x:v>
      </x:c>
      <x:c r="C184" s="4" t="str">
        <x:v>BraTS-GLI-02393-100</x:v>
      </x:c>
      <x:c r="D184" s="4" t="str">
        <x:v>BraTS-GLI-02393</x:v>
      </x:c>
      <x:c r="E184" s="4" t="str">
        <x:v>dualid:UCSD-PTGBM-0138</x:v>
      </x:c>
      <x:c r="F184" s="6" t="n">
        <x:v>1</x:v>
      </x:c>
      <x:c r="G184" s="4" t="str">
        <x:v>derived_from_published_243_equals_192_plus_51_partition</x:v>
      </x:c>
      <x:c r="H184" s="6" t="n">
        <x:v>68</x:v>
      </x:c>
      <x:c r="I184" s="6" t="n">
        <x:v>0</x:v>
      </x:c>
      <x:c r="J184" s="6" t="n">
        <x:v>0</x:v>
      </x:c>
      <x:c r="K184" s="4" t="str">
        <x:v>-24</x:v>
      </x:c>
      <x:c r="L184" s="6" t="n">
        <x:v>24</x:v>
      </x:c>
      <x:c r="M184" s="6" t="n">
        <x:v>3.2188758249</x:v>
      </x:c>
      <x:c r="N184" s="6" t="n">
        <x:v>0</x:v>
      </x:c>
      <x:c r="O184" s="4" t="str">
        <x:v>Glioblastoma</x:v>
      </x:c>
      <x:c r="P184" s="6" t="n">
        <x:v>5</x:v>
      </x:c>
      <x:c r="Q184" s="8" t="n">
        <x:v>0.8146341939</x:v>
      </x:c>
      <x:c r="R184" s="6" t="n">
        <x:f>IF(Q184&gt;=Scope!$B$9,1,0)</x:f>
        <x:v>1</x:v>
      </x:c>
      <x:c r="S184" s="8" t="n">
        <x:v>0.8931778458</x:v>
      </x:c>
      <x:c r="T184" s="6" t="n">
        <x:f>IF(S184&gt;=Scope!$B$9,1,0)</x:f>
        <x:v>1</x:v>
      </x:c>
      <x:c r="U184" s="8" t="n">
        <x:v>0.7853403141</x:v>
      </x:c>
      <x:c r="V184" s="6" t="n">
        <x:f>IF(U184&gt;=Scope!$B$9,1,0)</x:f>
        <x:v>1</x:v>
      </x:c>
      <x:c r="W184" s="8" t="n">
        <x:f>(F184-Q184)^2</x:f>
        <x:v>0.03436048207110279</x:v>
      </x:c>
      <x:c r="X184" s="8" t="n">
        <x:f>(F184-S184)^2</x:f>
        <x:v>0.01141097262792857</x:v>
      </x:c>
      <x:c r="Y184" s="8" t="n">
        <x:f>(F184-U184)^2</x:f>
        <x:v>0.04607878075068664</x:v>
      </x:c>
    </x:row>
    <x:row r="185" ht="28" customHeight="1">
      <x:c r="A185" s="4" t="str">
        <x:v>UCSD-PTGBM-0139_01</x:v>
      </x:c>
      <x:c r="B185" s="4" t="str">
        <x:v>UCSD-PTGBM-0139</x:v>
      </x:c>
      <x:c r="C185" s="4" t="str">
        <x:v>BraTS-GLI-02394-100</x:v>
      </x:c>
      <x:c r="D185" s="4" t="str">
        <x:v>BraTS-GLI-02394</x:v>
      </x:c>
      <x:c r="E185" s="4" t="str">
        <x:v>dualid:UCSD-PTGBM-0139</x:v>
      </x:c>
      <x:c r="F185" s="6" t="n">
        <x:v>1</x:v>
      </x:c>
      <x:c r="G185" s="4" t="str">
        <x:v>derived_from_published_243_equals_192_plus_51_partition</x:v>
      </x:c>
      <x:c r="H185" s="6" t="n">
        <x:v>69</x:v>
      </x:c>
      <x:c r="I185" s="6" t="n">
        <x:v>1</x:v>
      </x:c>
      <x:c r="J185" s="6" t="n">
        <x:v>1</x:v>
      </x:c>
      <x:c r="K185" s="4" t="str">
        <x:v>-365</x:v>
      </x:c>
      <x:c r="L185" s="6" t="n">
        <x:v>365</x:v>
      </x:c>
      <x:c r="M185" s="6" t="n">
        <x:v>5.9026333334</x:v>
      </x:c>
      <x:c r="N185" s="6" t="n">
        <x:v>0</x:v>
      </x:c>
      <x:c r="O185" s="4" t="str">
        <x:v>Glioblastoma</x:v>
      </x:c>
      <x:c r="P185" s="6" t="n">
        <x:v>3</x:v>
      </x:c>
      <x:c r="Q185" s="8" t="n">
        <x:v>0.8584090211</x:v>
      </x:c>
      <x:c r="R185" s="6" t="n">
        <x:f>IF(Q185&gt;=Scope!$B$9,1,0)</x:f>
        <x:v>1</x:v>
      </x:c>
      <x:c r="S185" s="8" t="n">
        <x:v>0.8128232434</x:v>
      </x:c>
      <x:c r="T185" s="6" t="n">
        <x:f>IF(S185&gt;=Scope!$B$9,1,0)</x:f>
        <x:v>1</x:v>
      </x:c>
      <x:c r="U185" s="8" t="n">
        <x:v>0.7853403141</x:v>
      </x:c>
      <x:c r="V185" s="6" t="n">
        <x:f>IF(U185&gt;=Scope!$B$9,1,0)</x:f>
        <x:v>1</x:v>
      </x:c>
      <x:c r="W185" s="8" t="n">
        <x:f>(F185-Q185)^2</x:f>
        <x:v>0.02004800530586026</x:v>
      </x:c>
      <x:c r="X185" s="8" t="n">
        <x:f>(F185-S185)^2</x:f>
        <x:v>0.03503513821129564</x:v>
      </x:c>
      <x:c r="Y185" s="8" t="n">
        <x:f>(F185-U185)^2</x:f>
        <x:v>0.04607878075068664</x:v>
      </x:c>
    </x:row>
    <x:row r="186" ht="28" customHeight="1">
      <x:c r="A186" s="4" t="str">
        <x:v>UCSD-PTGBM-0140_01</x:v>
      </x:c>
      <x:c r="B186" s="4" t="str">
        <x:v>UCSD-PTGBM-0140</x:v>
      </x:c>
      <x:c r="C186" s="4" t="str">
        <x:v>BraTS-GLI-02395-100</x:v>
      </x:c>
      <x:c r="D186" s="4" t="str">
        <x:v>BraTS-GLI-02395</x:v>
      </x:c>
      <x:c r="E186" s="4" t="str">
        <x:v>dualid:UCSD-PTGBM-0140</x:v>
      </x:c>
      <x:c r="F186" s="6" t="n">
        <x:v>1</x:v>
      </x:c>
      <x:c r="G186" s="4" t="str">
        <x:v>derived_from_published_243_equals_192_plus_51_partition</x:v>
      </x:c>
      <x:c r="H186" s="6" t="n">
        <x:v>22</x:v>
      </x:c>
      <x:c r="I186" s="6" t="n">
        <x:v>1</x:v>
      </x:c>
      <x:c r="J186" s="6" t="n">
        <x:v>0</x:v>
      </x:c>
      <x:c r="K186" s="4" t="str">
        <x:v>-552</x:v>
      </x:c>
      <x:c r="L186" s="6" t="n">
        <x:v>552</x:v>
      </x:c>
      <x:c r="M186" s="6" t="n">
        <x:v>6.3153580015</x:v>
      </x:c>
      <x:c r="N186" s="6" t="n">
        <x:v>0</x:v>
      </x:c>
      <x:c r="O186" s="4" t="str">
        <x:v>Glioblastoma</x:v>
      </x:c>
      <x:c r="P186" s="6" t="n">
        <x:v>4</x:v>
      </x:c>
      <x:c r="Q186" s="8" t="n">
        <x:v>0.5957511808</x:v>
      </x:c>
      <x:c r="R186" s="6" t="n">
        <x:f>IF(Q186&gt;=Scope!$B$9,1,0)</x:f>
        <x:v>1</x:v>
      </x:c>
      <x:c r="S186" s="8" t="n">
        <x:v>0.453730781</x:v>
      </x:c>
      <x:c r="T186" s="6" t="n">
        <x:f>IF(S186&gt;=Scope!$B$9,1,0)</x:f>
        <x:v>0</x:v>
      </x:c>
      <x:c r="U186" s="8" t="n">
        <x:v>0.7853403141</x:v>
      </x:c>
      <x:c r="V186" s="6" t="n">
        <x:f>IF(U186&gt;=Scope!$B$9,1,0)</x:f>
        <x:v>1</x:v>
      </x:c>
      <x:c r="W186" s="8" t="n">
        <x:f>(F186-Q186)^2</x:f>
        <x:v>0.1634171078245943</x:v>
      </x:c>
      <x:c r="X186" s="8" t="n">
        <x:f>(F186-S186)^2</x:f>
        <x:v>0.29841005962687</x:v>
      </x:c>
      <x:c r="Y186" s="8" t="n">
        <x:f>(F186-U186)^2</x:f>
        <x:v>0.04607878075068664</x:v>
      </x:c>
    </x:row>
    <x:row r="187" ht="28" customHeight="1">
      <x:c r="A187" s="4" t="str">
        <x:v>UCSD-PTGBM-0140_02</x:v>
      </x:c>
      <x:c r="B187" s="4" t="str">
        <x:v>UCSD-PTGBM-0140</x:v>
      </x:c>
      <x:c r="C187" s="4" t="str">
        <x:v>BraTS-GLI-02395-101</x:v>
      </x:c>
      <x:c r="D187" s="4" t="str">
        <x:v>BraTS-GLI-02395</x:v>
      </x:c>
      <x:c r="E187" s="4" t="str">
        <x:v>dualid:UCSD-PTGBM-0140</x:v>
      </x:c>
      <x:c r="F187" s="6" t="n">
        <x:v>0</x:v>
      </x:c>
      <x:c r="G187" s="4" t="str">
        <x:v>explicit_negative_case_list</x:v>
      </x:c>
      <x:c r="H187" s="6" t="n">
        <x:v>22</x:v>
      </x:c>
      <x:c r="I187" s="6" t="n">
        <x:v>1</x:v>
      </x:c>
      <x:c r="J187" s="6" t="n">
        <x:v>0</x:v>
      </x:c>
      <x:c r="K187" s="4" t="str">
        <x:v>-979</x:v>
      </x:c>
      <x:c r="L187" s="6" t="n">
        <x:v>979</x:v>
      </x:c>
      <x:c r="M187" s="6" t="n">
        <x:v>6.8875525717</x:v>
      </x:c>
      <x:c r="N187" s="6" t="n">
        <x:v>0</x:v>
      </x:c>
      <x:c r="O187" s="4" t="str">
        <x:v>Glioblastoma</x:v>
      </x:c>
      <x:c r="P187" s="6" t="n">
        <x:v>4</x:v>
      </x:c>
      <x:c r="Q187" s="8" t="n">
        <x:v>0.5957511808</x:v>
      </x:c>
      <x:c r="R187" s="6" t="n">
        <x:f>IF(Q187&gt;=Scope!$B$9,1,0)</x:f>
        <x:v>1</x:v>
      </x:c>
      <x:c r="S187" s="8" t="n">
        <x:v>0.3716474145</x:v>
      </x:c>
      <x:c r="T187" s="6" t="n">
        <x:f>IF(S187&gt;=Scope!$B$9,1,0)</x:f>
        <x:v>0</x:v>
      </x:c>
      <x:c r="U187" s="8" t="n">
        <x:v>0.7853403141</x:v>
      </x:c>
      <x:c r="V187" s="6" t="n">
        <x:f>IF(U187&gt;=Scope!$B$9,1,0)</x:f>
        <x:v>1</x:v>
      </x:c>
      <x:c r="W187" s="8" t="n">
        <x:f>(F187-Q187)^2</x:f>
        <x:v>0.3549194694245943</x:v>
      </x:c>
      <x:c r="X187" s="8" t="n">
        <x:f>(F187-S187)^2</x:f>
        <x:v>0.1381218007045348</x:v>
      </x:c>
      <x:c r="Y187" s="8" t="n">
        <x:f>(F187-U187)^2</x:f>
        <x:v>0.6167594089506867</x:v>
      </x:c>
    </x:row>
    <x:row r="188" ht="28" customHeight="1">
      <x:c r="A188" s="4" t="str">
        <x:v>UCSD-PTGBM-0141_01</x:v>
      </x:c>
      <x:c r="B188" s="4" t="str">
        <x:v>UCSD-PTGBM-0141</x:v>
      </x:c>
      <x:c r="C188" s="4" t="str">
        <x:v>BraTS-GLI-02396-100</x:v>
      </x:c>
      <x:c r="D188" s="4" t="str">
        <x:v>BraTS-GLI-02396</x:v>
      </x:c>
      <x:c r="E188" s="4" t="str">
        <x:v>dualid:UCSD-PTGBM-0141</x:v>
      </x:c>
      <x:c r="F188" s="6" t="n">
        <x:v>1</x:v>
      </x:c>
      <x:c r="G188" s="4" t="str">
        <x:v>derived_from_published_243_equals_192_plus_51_partition</x:v>
      </x:c>
      <x:c r="H188" s="6" t="n">
        <x:v>36</x:v>
      </x:c>
      <x:c r="I188" s="6" t="n">
        <x:v>1</x:v>
      </x:c>
      <x:c r="J188" s="6" t="n">
        <x:v>0</x:v>
      </x:c>
      <x:c r="K188" s="4" t="str">
        <x:v>-22</x:v>
      </x:c>
      <x:c r="L188" s="6" t="n">
        <x:v>22</x:v>
      </x:c>
      <x:c r="M188" s="6" t="n">
        <x:v>3.1354942159</x:v>
      </x:c>
      <x:c r="N188" s="6" t="n">
        <x:v>0</x:v>
      </x:c>
      <x:c r="O188" s="4" t="str">
        <x:v>Glioblastoma</x:v>
      </x:c>
      <x:c r="P188" s="6" t="n">
        <x:v>2</x:v>
      </x:c>
      <x:c r="Q188" s="8" t="n">
        <x:v>0.7165488246</x:v>
      </x:c>
      <x:c r="R188" s="6" t="n">
        <x:f>IF(Q188&gt;=Scope!$B$9,1,0)</x:f>
        <x:v>1</x:v>
      </x:c>
      <x:c r="S188" s="8" t="n">
        <x:v>0.81919947</x:v>
      </x:c>
      <x:c r="T188" s="6" t="n">
        <x:f>IF(S188&gt;=Scope!$B$9,1,0)</x:f>
        <x:v>1</x:v>
      </x:c>
      <x:c r="U188" s="8" t="n">
        <x:v>0.7883597884</x:v>
      </x:c>
      <x:c r="V188" s="6" t="n">
        <x:f>IF(U188&gt;=Scope!$B$9,1,0)</x:f>
        <x:v>1</x:v>
      </x:c>
      <x:c r="W188" s="8" t="n">
        <x:f>(F188-Q188)^2</x:f>
        <x:v>0.08034456883564155</x:v>
      </x:c>
      <x:c r="X188" s="8" t="n">
        <x:f>(F188-S188)^2</x:f>
        <x:v>0.03268883164828088</x:v>
      </x:c>
      <x:c r="Y188" s="8" t="n">
        <x:f>(F188-U188)^2</x:f>
        <x:v>0.04479157916609278</x:v>
      </x:c>
    </x:row>
    <x:row r="189" ht="28" customHeight="1">
      <x:c r="A189" s="4" t="str">
        <x:v>UCSD-PTGBM-0142_01</x:v>
      </x:c>
      <x:c r="B189" s="4" t="str">
        <x:v>UCSD-PTGBM-0142</x:v>
      </x:c>
      <x:c r="C189" s="4" t="str">
        <x:v>BraTS-GLI-02397-100</x:v>
      </x:c>
      <x:c r="D189" s="4" t="str">
        <x:v>BraTS-GLI-02397</x:v>
      </x:c>
      <x:c r="E189" s="4" t="str">
        <x:v>dualid:UCSD-PTGBM-0142</x:v>
      </x:c>
      <x:c r="F189" s="6" t="n">
        <x:v>1</x:v>
      </x:c>
      <x:c r="G189" s="4" t="str">
        <x:v>derived_from_published_243_equals_192_plus_51_partition</x:v>
      </x:c>
      <x:c r="H189" s="6" t="n">
        <x:v>59</x:v>
      </x:c>
      <x:c r="I189" s="6" t="n">
        <x:v>1</x:v>
      </x:c>
      <x:c r="J189" s="6" t="n">
        <x:v>0</x:v>
      </x:c>
      <x:c r="K189" s="4" t="str">
        <x:v>Unknown</x:v>
      </x:c>
      <x:c r="L189" s="6"/>
      <x:c r="M189" s="6"/>
      <x:c r="N189" s="6" t="n">
        <x:v>1</x:v>
      </x:c>
      <x:c r="O189" s="4" t="str">
        <x:v>Glioblastoma</x:v>
      </x:c>
      <x:c r="P189" s="6" t="n">
        <x:v>3</x:v>
      </x:c>
      <x:c r="Q189" s="8" t="n">
        <x:v>0.822176164</x:v>
      </x:c>
      <x:c r="R189" s="6" t="n">
        <x:f>IF(Q189&gt;=Scope!$B$9,1,0)</x:f>
        <x:v>1</x:v>
      </x:c>
      <x:c r="S189" s="8" t="n">
        <x:v>0.9141725155</x:v>
      </x:c>
      <x:c r="T189" s="6" t="n">
        <x:f>IF(S189&gt;=Scope!$B$9,1,0)</x:f>
        <x:v>1</x:v>
      </x:c>
      <x:c r="U189" s="8" t="n">
        <x:v>0.7853403141</x:v>
      </x:c>
      <x:c r="V189" s="6" t="n">
        <x:f>IF(U189&gt;=Scope!$B$9,1,0)</x:f>
        <x:v>1</x:v>
      </x:c>
      <x:c r="W189" s="8" t="n">
        <x:f>(F189-Q189)^2</x:f>
        <x:v>0.03162131664975488</x:v>
      </x:c>
      <x:c r="X189" s="8" t="n">
        <x:f>(F189-S189)^2</x:f>
        <x:v>0.007366357095597739</x:v>
      </x:c>
      <x:c r="Y189" s="8" t="n">
        <x:f>(F189-U189)^2</x:f>
        <x:v>0.04607878075068664</x:v>
      </x:c>
    </x:row>
    <x:row r="190" ht="28" customHeight="1">
      <x:c r="A190" s="4" t="str">
        <x:v>UCSD-PTGBM-0143_01</x:v>
      </x:c>
      <x:c r="B190" s="4" t="str">
        <x:v>UCSD-PTGBM-0143</x:v>
      </x:c>
      <x:c r="C190" s="4" t="str">
        <x:v>BraTS-GLI-02398-100</x:v>
      </x:c>
      <x:c r="D190" s="4" t="str">
        <x:v>BraTS-GLI-02398</x:v>
      </x:c>
      <x:c r="E190" s="4" t="str">
        <x:v>dualid:UCSD-PTGBM-0143</x:v>
      </x:c>
      <x:c r="F190" s="6" t="n">
        <x:v>1</x:v>
      </x:c>
      <x:c r="G190" s="4" t="str">
        <x:v>derived_from_published_243_equals_192_plus_51_partition</x:v>
      </x:c>
      <x:c r="H190" s="6" t="n">
        <x:v>63</x:v>
      </x:c>
      <x:c r="I190" s="6" t="n">
        <x:v>0</x:v>
      </x:c>
      <x:c r="J190" s="6" t="n">
        <x:v>0</x:v>
      </x:c>
      <x:c r="K190" s="4" t="str">
        <x:v>Unknown</x:v>
      </x:c>
      <x:c r="L190" s="6"/>
      <x:c r="M190" s="6"/>
      <x:c r="N190" s="6" t="n">
        <x:v>1</x:v>
      </x:c>
      <x:c r="O190" s="4" t="str">
        <x:v>Glioblastoma</x:v>
      </x:c>
      <x:c r="P190" s="6" t="n">
        <x:v>5</x:v>
      </x:c>
      <x:c r="Q190" s="8" t="n">
        <x:v>0.7890931084</x:v>
      </x:c>
      <x:c r="R190" s="6" t="n">
        <x:f>IF(Q190&gt;=Scope!$B$9,1,0)</x:f>
        <x:v>1</x:v>
      </x:c>
      <x:c r="S190" s="8" t="n">
        <x:v>0.8620126362</x:v>
      </x:c>
      <x:c r="T190" s="6" t="n">
        <x:f>IF(S190&gt;=Scope!$B$9,1,0)</x:f>
        <x:v>1</x:v>
      </x:c>
      <x:c r="U190" s="8" t="n">
        <x:v>0.7853403141</x:v>
      </x:c>
      <x:c r="V190" s="6" t="n">
        <x:f>IF(U190&gt;=Scope!$B$9,1,0)</x:f>
        <x:v>1</x:v>
      </x:c>
      <x:c r="W190" s="8" t="n">
        <x:f>(F190-Q190)^2</x:f>
        <x:v>0.044481716924374144</x:v>
      </x:c>
      <x:c r="X190" s="8" t="n">
        <x:f>(F190-S190)^2</x:f>
        <x:v>0.019040512568473545</x:v>
      </x:c>
      <x:c r="Y190" s="8" t="n">
        <x:f>(F190-U190)^2</x:f>
        <x:v>0.04607878075068664</x:v>
      </x:c>
    </x:row>
    <x:row r="191" ht="28" customHeight="1">
      <x:c r="A191" s="4" t="str">
        <x:v>UCSD-PTGBM-0144_01</x:v>
      </x:c>
      <x:c r="B191" s="4" t="str">
        <x:v>UCSD-PTGBM-0144</x:v>
      </x:c>
      <x:c r="C191" s="4" t="str">
        <x:v>BraTS-GLI-02399-100</x:v>
      </x:c>
      <x:c r="D191" s="4" t="str">
        <x:v>BraTS-GLI-02399</x:v>
      </x:c>
      <x:c r="E191" s="4" t="str">
        <x:v>dualid:UCSD-PTGBM-0144</x:v>
      </x:c>
      <x:c r="F191" s="6" t="n">
        <x:v>1</x:v>
      </x:c>
      <x:c r="G191" s="4" t="str">
        <x:v>derived_from_published_243_equals_192_plus_51_partition</x:v>
      </x:c>
      <x:c r="H191" s="6" t="n">
        <x:v>45</x:v>
      </x:c>
      <x:c r="I191" s="6" t="n">
        <x:v>1</x:v>
      </x:c>
      <x:c r="J191" s="6" t="n">
        <x:v>0</x:v>
      </x:c>
      <x:c r="K191" s="4" t="str">
        <x:v>-16</x:v>
      </x:c>
      <x:c r="L191" s="6" t="n">
        <x:v>16</x:v>
      </x:c>
      <x:c r="M191" s="6" t="n">
        <x:v>2.8332133441</x:v>
      </x:c>
      <x:c r="N191" s="6" t="n">
        <x:v>0</x:v>
      </x:c>
      <x:c r="O191" s="4" t="str">
        <x:v>Glioblastoma</x:v>
      </x:c>
      <x:c r="P191" s="6" t="n">
        <x:v>2</x:v>
      </x:c>
      <x:c r="Q191" s="8" t="n">
        <x:v>0.7632683841</x:v>
      </x:c>
      <x:c r="R191" s="6" t="n">
        <x:f>IF(Q191&gt;=Scope!$B$9,1,0)</x:f>
        <x:v>1</x:v>
      </x:c>
      <x:c r="S191" s="8" t="n">
        <x:v>0.8575975737</x:v>
      </x:c>
      <x:c r="T191" s="6" t="n">
        <x:f>IF(S191&gt;=Scope!$B$9,1,0)</x:f>
        <x:v>1</x:v>
      </x:c>
      <x:c r="U191" s="8" t="n">
        <x:v>0.7883597884</x:v>
      </x:c>
      <x:c r="V191" s="6" t="n">
        <x:f>IF(U191&gt;=Scope!$B$9,1,0)</x:f>
        <x:v>1</x:v>
      </x:c>
      <x:c r="W191" s="8" t="n">
        <x:f>(F191-Q191)^2</x:f>
        <x:v>0.05604185796662514</x:v>
      </x:c>
      <x:c r="X191" s="8" t="n">
        <x:f>(F191-S191)^2</x:f>
        <x:v>0.02027845101612693</x:v>
      </x:c>
      <x:c r="Y191" s="8" t="n">
        <x:f>(F191-U191)^2</x:f>
        <x:v>0.04479157916609278</x:v>
      </x:c>
    </x:row>
    <x:row r="192" ht="28" customHeight="1">
      <x:c r="A192" s="4" t="str">
        <x:v>UCSD-PTGBM-0144_02</x:v>
      </x:c>
      <x:c r="B192" s="4" t="str">
        <x:v>UCSD-PTGBM-0144</x:v>
      </x:c>
      <x:c r="C192" s="4" t="str">
        <x:v>BraTS-GLI-02399-101</x:v>
      </x:c>
      <x:c r="D192" s="4" t="str">
        <x:v>BraTS-GLI-02399</x:v>
      </x:c>
      <x:c r="E192" s="4" t="str">
        <x:v>dualid:UCSD-PTGBM-0144</x:v>
      </x:c>
      <x:c r="F192" s="6" t="n">
        <x:v>1</x:v>
      </x:c>
      <x:c r="G192" s="4" t="str">
        <x:v>derived_from_published_243_equals_192_plus_51_partition</x:v>
      </x:c>
      <x:c r="H192" s="6" t="n">
        <x:v>45</x:v>
      </x:c>
      <x:c r="I192" s="6" t="n">
        <x:v>1</x:v>
      </x:c>
      <x:c r="J192" s="6" t="n">
        <x:v>1</x:v>
      </x:c>
      <x:c r="K192" s="4" t="str">
        <x:v>-440</x:v>
      </x:c>
      <x:c r="L192" s="6" t="n">
        <x:v>440</x:v>
      </x:c>
      <x:c r="M192" s="6" t="n">
        <x:v>6.0890448754</x:v>
      </x:c>
      <x:c r="N192" s="6" t="n">
        <x:v>0</x:v>
      </x:c>
      <x:c r="O192" s="4" t="str">
        <x:v>Glioblastoma</x:v>
      </x:c>
      <x:c r="P192" s="6" t="n">
        <x:v>2</x:v>
      </x:c>
      <x:c r="Q192" s="8" t="n">
        <x:v>0.7632683841</x:v>
      </x:c>
      <x:c r="R192" s="6" t="n">
        <x:f>IF(Q192&gt;=Scope!$B$9,1,0)</x:f>
        <x:v>1</x:v>
      </x:c>
      <x:c r="S192" s="8" t="n">
        <x:v>0.7593009404</x:v>
      </x:c>
      <x:c r="T192" s="6" t="n">
        <x:f>IF(S192&gt;=Scope!$B$9,1,0)</x:f>
        <x:v>1</x:v>
      </x:c>
      <x:c r="U192" s="8" t="n">
        <x:v>0.7883597884</x:v>
      </x:c>
      <x:c r="V192" s="6" t="n">
        <x:f>IF(U192&gt;=Scope!$B$9,1,0)</x:f>
        <x:v>1</x:v>
      </x:c>
      <x:c r="W192" s="8" t="n">
        <x:f>(F192-Q192)^2</x:f>
        <x:v>0.05604185796662514</x:v>
      </x:c>
      <x:c r="X192" s="8" t="n">
        <x:f>(F192-S192)^2</x:f>
        <x:v>0.057936037292324376</x:v>
      </x:c>
      <x:c r="Y192" s="8" t="n">
        <x:f>(F192-U192)^2</x:f>
        <x:v>0.04479157916609278</x:v>
      </x:c>
    </x:row>
    <x:row r="193" ht="28" customHeight="1">
      <x:c r="A193" s="4" t="str">
        <x:v>UCSD-PTGBM-0145_01</x:v>
      </x:c>
      <x:c r="B193" s="4" t="str">
        <x:v>UCSD-PTGBM-0145</x:v>
      </x:c>
      <x:c r="C193" s="4" t="str">
        <x:v>BraTS-GLI-02400-100</x:v>
      </x:c>
      <x:c r="D193" s="4" t="str">
        <x:v>BraTS-GLI-02400</x:v>
      </x:c>
      <x:c r="E193" s="4" t="str">
        <x:v>dualid:UCSD-PTGBM-0145</x:v>
      </x:c>
      <x:c r="F193" s="6" t="n">
        <x:v>1</x:v>
      </x:c>
      <x:c r="G193" s="4" t="str">
        <x:v>derived_from_published_243_equals_192_plus_51_partition</x:v>
      </x:c>
      <x:c r="H193" s="6" t="n">
        <x:v>51</x:v>
      </x:c>
      <x:c r="I193" s="6" t="n">
        <x:v>1</x:v>
      </x:c>
      <x:c r="J193" s="6" t="n">
        <x:v>0</x:v>
      </x:c>
      <x:c r="K193" s="4" t="str">
        <x:v>-70</x:v>
      </x:c>
      <x:c r="L193" s="6" t="n">
        <x:v>70</x:v>
      </x:c>
      <x:c r="M193" s="6" t="n">
        <x:v>4.262679877</x:v>
      </x:c>
      <x:c r="N193" s="6" t="n">
        <x:v>0</x:v>
      </x:c>
      <x:c r="O193" s="4" t="str">
        <x:v>Glioblastoma</x:v>
      </x:c>
      <x:c r="P193" s="6" t="n">
        <x:v>3</x:v>
      </x:c>
      <x:c r="Q193" s="8" t="n">
        <x:v>0.7882451274</x:v>
      </x:c>
      <x:c r="R193" s="6" t="n">
        <x:f>IF(Q193&gt;=Scope!$B$9,1,0)</x:f>
        <x:v>1</x:v>
      </x:c>
      <x:c r="S193" s="8" t="n">
        <x:v>0.8080514499</x:v>
      </x:c>
      <x:c r="T193" s="6" t="n">
        <x:f>IF(S193&gt;=Scope!$B$9,1,0)</x:f>
        <x:v>1</x:v>
      </x:c>
      <x:c r="U193" s="8" t="n">
        <x:v>0.7853403141</x:v>
      </x:c>
      <x:c r="V193" s="6" t="n">
        <x:f>IF(U193&gt;=Scope!$B$9,1,0)</x:f>
        <x:v>1</x:v>
      </x:c>
      <x:c r="W193" s="8" t="n">
        <x:f>(F193-Q193)^2</x:f>
        <x:v>0.044840126069842244</x:v>
      </x:c>
      <x:c r="X193" s="8" t="n">
        <x:f>(F193-S193)^2</x:f>
        <x:v>0.03684424588549221</x:v>
      </x:c>
      <x:c r="Y193" s="8" t="n">
        <x:f>(F193-U193)^2</x:f>
        <x:v>0.04607878075068664</x:v>
      </x:c>
    </x:row>
    <x:row r="194" ht="28" customHeight="1">
      <x:c r="A194" s="4" t="str">
        <x:v>UCSD-PTGBM-0145_02</x:v>
      </x:c>
      <x:c r="B194" s="4" t="str">
        <x:v>UCSD-PTGBM-0145</x:v>
      </x:c>
      <x:c r="C194" s="4" t="str">
        <x:v>BraTS-GLI-02400-101</x:v>
      </x:c>
      <x:c r="D194" s="4" t="str">
        <x:v>BraTS-GLI-02400</x:v>
      </x:c>
      <x:c r="E194" s="4" t="str">
        <x:v>dualid:UCSD-PTGBM-0145</x:v>
      </x:c>
      <x:c r="F194" s="6" t="n">
        <x:v>1</x:v>
      </x:c>
      <x:c r="G194" s="4" t="str">
        <x:v>derived_from_published_243_equals_192_plus_51_partition</x:v>
      </x:c>
      <x:c r="H194" s="6" t="n">
        <x:v>51</x:v>
      </x:c>
      <x:c r="I194" s="6" t="n">
        <x:v>1</x:v>
      </x:c>
      <x:c r="J194" s="6" t="n">
        <x:v>1</x:v>
      </x:c>
      <x:c r="K194" s="4" t="str">
        <x:v>-240</x:v>
      </x:c>
      <x:c r="L194" s="6" t="n">
        <x:v>240</x:v>
      </x:c>
      <x:c r="M194" s="6" t="n">
        <x:v>5.4847969335</x:v>
      </x:c>
      <x:c r="N194" s="6" t="n">
        <x:v>0</x:v>
      </x:c>
      <x:c r="O194" s="4" t="str">
        <x:v>Glioblastoma</x:v>
      </x:c>
      <x:c r="P194" s="6" t="n">
        <x:v>3</x:v>
      </x:c>
      <x:c r="Q194" s="8" t="n">
        <x:v>0.7882451274</x:v>
      </x:c>
      <x:c r="R194" s="6" t="n">
        <x:f>IF(Q194&gt;=Scope!$B$9,1,0)</x:f>
        <x:v>1</x:v>
      </x:c>
      <x:c r="S194" s="8" t="n">
        <x:v>0.8064043803</x:v>
      </x:c>
      <x:c r="T194" s="6" t="n">
        <x:f>IF(S194&gt;=Scope!$B$9,1,0)</x:f>
        <x:v>1</x:v>
      </x:c>
      <x:c r="U194" s="8" t="n">
        <x:v>0.7853403141</x:v>
      </x:c>
      <x:c r="V194" s="6" t="n">
        <x:f>IF(U194&gt;=Scope!$B$9,1,0)</x:f>
        <x:v>1</x:v>
      </x:c>
      <x:c r="W194" s="8" t="n">
        <x:f>(F194-Q194)^2</x:f>
        <x:v>0.044840126069842244</x:v>
      </x:c>
      <x:c r="X194" s="8" t="n">
        <x:f>(F194-S194)^2</x:f>
        <x:v>0.03747926396702705</x:v>
      </x:c>
      <x:c r="Y194" s="8" t="n">
        <x:f>(F194-U194)^2</x:f>
        <x:v>0.04607878075068664</x:v>
      </x:c>
    </x:row>
    <x:row r="195" ht="28" customHeight="1">
      <x:c r="A195" s="4" t="str">
        <x:v>UCSD-PTGBM-0146_01</x:v>
      </x:c>
      <x:c r="B195" s="4" t="str">
        <x:v>UCSD-PTGBM-0146</x:v>
      </x:c>
      <x:c r="C195" s="4" t="str">
        <x:v>BraTS-GLI-02401-100</x:v>
      </x:c>
      <x:c r="D195" s="4" t="str">
        <x:v>BraTS-GLI-02401</x:v>
      </x:c>
      <x:c r="E195" s="4" t="str">
        <x:v>dualid:UCSD-PTGBM-0146</x:v>
      </x:c>
      <x:c r="F195" s="6" t="n">
        <x:v>1</x:v>
      </x:c>
      <x:c r="G195" s="4" t="str">
        <x:v>derived_from_published_243_equals_192_plus_51_partition</x:v>
      </x:c>
      <x:c r="H195" s="6" t="n">
        <x:v>51</x:v>
      </x:c>
      <x:c r="I195" s="6" t="n">
        <x:v>1</x:v>
      </x:c>
      <x:c r="J195" s="6" t="n">
        <x:v>0</x:v>
      </x:c>
      <x:c r="K195" s="4" t="str">
        <x:v>-28</x:v>
      </x:c>
      <x:c r="L195" s="6" t="n">
        <x:v>28</x:v>
      </x:c>
      <x:c r="M195" s="6" t="n">
        <x:v>3.36729583</x:v>
      </x:c>
      <x:c r="N195" s="6" t="n">
        <x:v>0</x:v>
      </x:c>
      <x:c r="O195" s="4" t="str">
        <x:v>Glioblastoma</x:v>
      </x:c>
      <x:c r="P195" s="6" t="n">
        <x:v>2</x:v>
      </x:c>
      <x:c r="Q195" s="8" t="n">
        <x:v>0.7913144309</x:v>
      </x:c>
      <x:c r="R195" s="6" t="n">
        <x:f>IF(Q195&gt;=Scope!$B$9,1,0)</x:f>
        <x:v>1</x:v>
      </x:c>
      <x:c r="S195" s="8" t="n">
        <x:v>0.8463589593</x:v>
      </x:c>
      <x:c r="T195" s="6" t="n">
        <x:f>IF(S195&gt;=Scope!$B$9,1,0)</x:f>
        <x:v>1</x:v>
      </x:c>
      <x:c r="U195" s="8" t="n">
        <x:v>0.7883597884</x:v>
      </x:c>
      <x:c r="V195" s="6" t="n">
        <x:f>IF(U195&gt;=Scope!$B$9,1,0)</x:f>
        <x:v>1</x:v>
      </x:c>
      <x:c r="W195" s="8" t="n">
        <x:f>(F195-Q195)^2</x:f>
        <x:v>0.04354966675059088</x:v>
      </x:c>
      <x:c r="X195" s="8" t="n">
        <x:f>(F195-S195)^2</x:f>
        <x:v>0.023605569387379042</x:v>
      </x:c>
      <x:c r="Y195" s="8" t="n">
        <x:f>(F195-U195)^2</x:f>
        <x:v>0.04479157916609278</x:v>
      </x:c>
    </x:row>
    <x:row r="196" ht="28" customHeight="1">
      <x:c r="A196" s="4" t="str">
        <x:v>UCSD-PTGBM-0147_01</x:v>
      </x:c>
      <x:c r="B196" s="4" t="str">
        <x:v>UCSD-PTGBM-0147</x:v>
      </x:c>
      <x:c r="C196" s="4" t="str">
        <x:v>BraTS-GLI-02402-100</x:v>
      </x:c>
      <x:c r="D196" s="4" t="str">
        <x:v>BraTS-GLI-02402</x:v>
      </x:c>
      <x:c r="E196" s="4" t="str">
        <x:v>dualid:UCSD-PTGBM-0147</x:v>
      </x:c>
      <x:c r="F196" s="6" t="n">
        <x:v>0</x:v>
      </x:c>
      <x:c r="G196" s="4" t="str">
        <x:v>explicit_negative_case_list</x:v>
      </x:c>
      <x:c r="H196" s="6" t="n">
        <x:v>49</x:v>
      </x:c>
      <x:c r="I196" s="6" t="n">
        <x:v>0</x:v>
      </x:c>
      <x:c r="J196" s="6" t="n">
        <x:v>0</x:v>
      </x:c>
      <x:c r="K196" s="4" t="str">
        <x:v>Unknown</x:v>
      </x:c>
      <x:c r="L196" s="6"/>
      <x:c r="M196" s="6"/>
      <x:c r="N196" s="6" t="n">
        <x:v>1</x:v>
      </x:c>
      <x:c r="O196" s="4" t="str">
        <x:v>Glioblastoma</x:v>
      </x:c>
      <x:c r="P196" s="6" t="n">
        <x:v>3</x:v>
      </x:c>
      <x:c r="Q196" s="8" t="n">
        <x:v>0.715445379</x:v>
      </x:c>
      <x:c r="R196" s="6" t="n">
        <x:f>IF(Q196&gt;=Scope!$B$9,1,0)</x:f>
        <x:v>1</x:v>
      </x:c>
      <x:c r="S196" s="8" t="n">
        <x:v>0.8850771419</x:v>
      </x:c>
      <x:c r="T196" s="6" t="n">
        <x:f>IF(S196&gt;=Scope!$B$9,1,0)</x:f>
        <x:v>1</x:v>
      </x:c>
      <x:c r="U196" s="8" t="n">
        <x:v>0.7853403141</x:v>
      </x:c>
      <x:c r="V196" s="6" t="n">
        <x:f>IF(U196&gt;=Scope!$B$9,1,0)</x:f>
        <x:v>1</x:v>
      </x:c>
      <x:c r="W196" s="8" t="n">
        <x:f>(F196-Q196)^2</x:f>
        <x:v>0.5118620903324537</x:v>
      </x:c>
      <x:c r="X196" s="8" t="n">
        <x:f>(F196-S196)^2</x:f>
        <x:v>0.7833615471138727</x:v>
      </x:c>
      <x:c r="Y196" s="8" t="n">
        <x:f>(F196-U196)^2</x:f>
        <x:v>0.6167594089506867</x:v>
      </x:c>
    </x:row>
    <x:row r="197" ht="28" customHeight="1">
      <x:c r="A197" s="4" t="str">
        <x:v>UCSD-PTGBM-0147_02</x:v>
      </x:c>
      <x:c r="B197" s="4" t="str">
        <x:v>UCSD-PTGBM-0147</x:v>
      </x:c>
      <x:c r="C197" s="4" t="str">
        <x:v>BraTS-GLI-02402-101</x:v>
      </x:c>
      <x:c r="D197" s="4" t="str">
        <x:v>BraTS-GLI-02402</x:v>
      </x:c>
      <x:c r="E197" s="4" t="str">
        <x:v>dualid:UCSD-PTGBM-0147</x:v>
      </x:c>
      <x:c r="F197" s="6" t="n">
        <x:v>0</x:v>
      </x:c>
      <x:c r="G197" s="4" t="str">
        <x:v>explicit_negative_case_list</x:v>
      </x:c>
      <x:c r="H197" s="6" t="n">
        <x:v>49</x:v>
      </x:c>
      <x:c r="I197" s="6" t="n">
        <x:v>0</x:v>
      </x:c>
      <x:c r="J197" s="6" t="n">
        <x:v>0</x:v>
      </x:c>
      <x:c r="K197" s="4" t="str">
        <x:v>Unknown</x:v>
      </x:c>
      <x:c r="L197" s="6"/>
      <x:c r="M197" s="6"/>
      <x:c r="N197" s="6" t="n">
        <x:v>1</x:v>
      </x:c>
      <x:c r="O197" s="4" t="str">
        <x:v>Glioblastoma</x:v>
      </x:c>
      <x:c r="P197" s="6" t="n">
        <x:v>3</x:v>
      </x:c>
      <x:c r="Q197" s="8" t="n">
        <x:v>0.715445379</x:v>
      </x:c>
      <x:c r="R197" s="6" t="n">
        <x:f>IF(Q197&gt;=Scope!$B$9,1,0)</x:f>
        <x:v>1</x:v>
      </x:c>
      <x:c r="S197" s="8" t="n">
        <x:v>0.8850771419</x:v>
      </x:c>
      <x:c r="T197" s="6" t="n">
        <x:f>IF(S197&gt;=Scope!$B$9,1,0)</x:f>
        <x:v>1</x:v>
      </x:c>
      <x:c r="U197" s="8" t="n">
        <x:v>0.7853403141</x:v>
      </x:c>
      <x:c r="V197" s="6" t="n">
        <x:f>IF(U197&gt;=Scope!$B$9,1,0)</x:f>
        <x:v>1</x:v>
      </x:c>
      <x:c r="W197" s="8" t="n">
        <x:f>(F197-Q197)^2</x:f>
        <x:v>0.5118620903324537</x:v>
      </x:c>
      <x:c r="X197" s="8" t="n">
        <x:f>(F197-S197)^2</x:f>
        <x:v>0.7833615471138727</x:v>
      </x:c>
      <x:c r="Y197" s="8" t="n">
        <x:f>(F197-U197)^2</x:f>
        <x:v>0.6167594089506867</x:v>
      </x:c>
    </x:row>
    <x:row r="198" ht="28" customHeight="1">
      <x:c r="A198" s="4" t="str">
        <x:v>UCSD-PTGBM-0148_01</x:v>
      </x:c>
      <x:c r="B198" s="4" t="str">
        <x:v>UCSD-PTGBM-0148</x:v>
      </x:c>
      <x:c r="C198" s="4" t="str">
        <x:v>BraTS-GLI-02403-100</x:v>
      </x:c>
      <x:c r="D198" s="4" t="str">
        <x:v>BraTS-GLI-02403</x:v>
      </x:c>
      <x:c r="E198" s="4" t="str">
        <x:v>dualid:UCSD-PTGBM-0148</x:v>
      </x:c>
      <x:c r="F198" s="6" t="n">
        <x:v>1</x:v>
      </x:c>
      <x:c r="G198" s="4" t="str">
        <x:v>derived_from_published_243_equals_192_plus_51_partition</x:v>
      </x:c>
      <x:c r="H198" s="6" t="n">
        <x:v>72</x:v>
      </x:c>
      <x:c r="I198" s="6" t="n">
        <x:v>0</x:v>
      </x:c>
      <x:c r="J198" s="6" t="n">
        <x:v>0</x:v>
      </x:c>
      <x:c r="K198" s="4" t="str">
        <x:v>-374</x:v>
      </x:c>
      <x:c r="L198" s="6" t="n">
        <x:v>374</x:v>
      </x:c>
      <x:c r="M198" s="6" t="n">
        <x:v>5.926926026</x:v>
      </x:c>
      <x:c r="N198" s="6" t="n">
        <x:v>0</x:v>
      </x:c>
      <x:c r="O198" s="4" t="str">
        <x:v>Oligoastrocytoma</x:v>
      </x:c>
      <x:c r="P198" s="6" t="n">
        <x:v>1</x:v>
      </x:c>
      <x:c r="Q198" s="8" t="n">
        <x:v>0.8077681152</x:v>
      </x:c>
      <x:c r="R198" s="6" t="n">
        <x:f>IF(Q198&gt;=Scope!$B$9,1,0)</x:f>
        <x:v>1</x:v>
      </x:c>
      <x:c r="S198" s="8" t="n">
        <x:v>0.675001152</x:v>
      </x:c>
      <x:c r="T198" s="6" t="n">
        <x:f>IF(S198&gt;=Scope!$B$9,1,0)</x:f>
        <x:v>1</x:v>
      </x:c>
      <x:c r="U198" s="8" t="n">
        <x:v>0.7842105263</x:v>
      </x:c>
      <x:c r="V198" s="6" t="n">
        <x:f>IF(U198&gt;=Scope!$B$9,1,0)</x:f>
        <x:v>1</x:v>
      </x:c>
      <x:c r="W198" s="8" t="n">
        <x:f>(F198-Q198)^2</x:f>
        <x:v>0.036953097533760464</x:v>
      </x:c>
      <x:c r="X198" s="8" t="n">
        <x:f>(F198-S198)^2</x:f>
        <x:v>0.10562425120132711</x:v>
      </x:c>
      <x:c r="Y198" s="8" t="n">
        <x:f>(F198-U198)^2</x:f>
        <x:v>0.046565096959722996</x:v>
      </x:c>
    </x:row>
    <x:row r="199" ht="28" customHeight="1">
      <x:c r="A199" s="4" t="str">
        <x:v>UCSD-PTGBM-0149_01</x:v>
      </x:c>
      <x:c r="B199" s="4" t="str">
        <x:v>UCSD-PTGBM-0149</x:v>
      </x:c>
      <x:c r="C199" s="4" t="str">
        <x:v>BraTS-GLI-02404-100</x:v>
      </x:c>
      <x:c r="D199" s="4" t="str">
        <x:v>BraTS-GLI-02404</x:v>
      </x:c>
      <x:c r="E199" s="4" t="str">
        <x:v>dualid:UCSD-PTGBM-0149</x:v>
      </x:c>
      <x:c r="F199" s="6" t="n">
        <x:v>1</x:v>
      </x:c>
      <x:c r="G199" s="4" t="str">
        <x:v>derived_from_published_243_equals_192_plus_51_partition</x:v>
      </x:c>
      <x:c r="H199" s="6" t="n">
        <x:v>49</x:v>
      </x:c>
      <x:c r="I199" s="6" t="n">
        <x:v>0</x:v>
      </x:c>
      <x:c r="J199" s="6" t="n">
        <x:v>0</x:v>
      </x:c>
      <x:c r="K199" s="4" t="str">
        <x:v>-64</x:v>
      </x:c>
      <x:c r="L199" s="6" t="n">
        <x:v>64</x:v>
      </x:c>
      <x:c r="M199" s="6" t="n">
        <x:v>4.1743872699</x:v>
      </x:c>
      <x:c r="N199" s="6" t="n">
        <x:v>0</x:v>
      </x:c>
      <x:c r="O199" s="4" t="str">
        <x:v>Glioblastoma</x:v>
      </x:c>
      <x:c r="P199" s="6" t="n">
        <x:v>4</x:v>
      </x:c>
      <x:c r="Q199" s="8" t="n">
        <x:v>0.6762991672</x:v>
      </x:c>
      <x:c r="R199" s="6" t="n">
        <x:f>IF(Q199&gt;=Scope!$B$9,1,0)</x:f>
        <x:v>1</x:v>
      </x:c>
      <x:c r="S199" s="8" t="n">
        <x:v>0.7905985726</x:v>
      </x:c>
      <x:c r="T199" s="6" t="n">
        <x:f>IF(S199&gt;=Scope!$B$9,1,0)</x:f>
        <x:v>1</x:v>
      </x:c>
      <x:c r="U199" s="8" t="n">
        <x:v>0.7853403141</x:v>
      </x:c>
      <x:c r="V199" s="6" t="n">
        <x:f>IF(U199&gt;=Scope!$B$9,1,0)</x:f>
        <x:v>1</x:v>
      </x:c>
      <x:c r="W199" s="8" t="n">
        <x:f>(F199-Q199)^2</x:f>
        <x:v>0.10478222915541352</x:v>
      </x:c>
      <x:c r="X199" s="8" t="n">
        <x:f>(F199-S199)^2</x:f>
        <x:v>0.04384895779715747</x:v>
      </x:c>
      <x:c r="Y199" s="8" t="n">
        <x:f>(F199-U199)^2</x:f>
        <x:v>0.04607878075068664</x:v>
      </x:c>
    </x:row>
    <x:row r="200" ht="28" customHeight="1">
      <x:c r="A200" s="4" t="str">
        <x:v>UCSD-PTGBM-0149_02</x:v>
      </x:c>
      <x:c r="B200" s="4" t="str">
        <x:v>UCSD-PTGBM-0149</x:v>
      </x:c>
      <x:c r="C200" s="4" t="str">
        <x:v>BraTS-GLI-02404-101</x:v>
      </x:c>
      <x:c r="D200" s="4" t="str">
        <x:v>BraTS-GLI-02404</x:v>
      </x:c>
      <x:c r="E200" s="4" t="str">
        <x:v>dualid:UCSD-PTGBM-0149</x:v>
      </x:c>
      <x:c r="F200" s="6" t="n">
        <x:v>1</x:v>
      </x:c>
      <x:c r="G200" s="4" t="str">
        <x:v>derived_from_published_243_equals_192_plus_51_partition</x:v>
      </x:c>
      <x:c r="H200" s="6" t="n">
        <x:v>49</x:v>
      </x:c>
      <x:c r="I200" s="6" t="n">
        <x:v>0</x:v>
      </x:c>
      <x:c r="J200" s="6" t="n">
        <x:v>0</x:v>
      </x:c>
      <x:c r="K200" s="4" t="str">
        <x:v>-171</x:v>
      </x:c>
      <x:c r="L200" s="6" t="n">
        <x:v>171</x:v>
      </x:c>
      <x:c r="M200" s="6" t="n">
        <x:v>5.1474944768</x:v>
      </x:c>
      <x:c r="N200" s="6" t="n">
        <x:v>0</x:v>
      </x:c>
      <x:c r="O200" s="4" t="str">
        <x:v>Glioblastoma</x:v>
      </x:c>
      <x:c r="P200" s="6" t="n">
        <x:v>4</x:v>
      </x:c>
      <x:c r="Q200" s="8" t="n">
        <x:v>0.6762991672</x:v>
      </x:c>
      <x:c r="R200" s="6" t="n">
        <x:f>IF(Q200&gt;=Scope!$B$9,1,0)</x:f>
        <x:v>1</x:v>
      </x:c>
      <x:c r="S200" s="8" t="n">
        <x:v>0.6794144862</x:v>
      </x:c>
      <x:c r="T200" s="6" t="n">
        <x:f>IF(S200&gt;=Scope!$B$9,1,0)</x:f>
        <x:v>1</x:v>
      </x:c>
      <x:c r="U200" s="8" t="n">
        <x:v>0.7853403141</x:v>
      </x:c>
      <x:c r="V200" s="6" t="n">
        <x:f>IF(U200&gt;=Scope!$B$9,1,0)</x:f>
        <x:v>1</x:v>
      </x:c>
      <x:c r="W200" s="8" t="n">
        <x:f>(F200-Q200)^2</x:f>
        <x:v>0.10478222915541352</x:v>
      </x:c>
      <x:c r="X200" s="8" t="n">
        <x:f>(F200-S200)^2</x:f>
        <x:v>0.10277507165840999</x:v>
      </x:c>
      <x:c r="Y200" s="8" t="n">
        <x:f>(F200-U200)^2</x:f>
        <x:v>0.04607878075068664</x:v>
      </x:c>
    </x:row>
    <x:row r="201" ht="28" customHeight="1">
      <x:c r="A201" s="4" t="str">
        <x:v>UCSD-PTGBM-0150_01</x:v>
      </x:c>
      <x:c r="B201" s="4" t="str">
        <x:v>UCSD-PTGBM-0150</x:v>
      </x:c>
      <x:c r="C201" s="4" t="str">
        <x:v>BraTS-GLI-02405-100</x:v>
      </x:c>
      <x:c r="D201" s="4" t="str">
        <x:v>BraTS-GLI-02405</x:v>
      </x:c>
      <x:c r="E201" s="4" t="str">
        <x:v>dualid:UCSD-PTGBM-0150</x:v>
      </x:c>
      <x:c r="F201" s="6" t="n">
        <x:v>1</x:v>
      </x:c>
      <x:c r="G201" s="4" t="str">
        <x:v>derived_from_published_243_equals_192_plus_51_partition</x:v>
      </x:c>
      <x:c r="H201" s="6" t="n">
        <x:v>76</x:v>
      </x:c>
      <x:c r="I201" s="6" t="n">
        <x:v>0</x:v>
      </x:c>
      <x:c r="J201" s="6" t="n">
        <x:v>0</x:v>
      </x:c>
      <x:c r="K201" s="4" t="str">
        <x:v>Unknown</x:v>
      </x:c>
      <x:c r="L201" s="6"/>
      <x:c r="M201" s="6"/>
      <x:c r="N201" s="6" t="n">
        <x:v>1</x:v>
      </x:c>
      <x:c r="O201" s="4" t="str">
        <x:v>Glioblastoma</x:v>
      </x:c>
      <x:c r="P201" s="6" t="n">
        <x:v>2</x:v>
      </x:c>
      <x:c r="Q201" s="8" t="n">
        <x:v>0.8411472226</x:v>
      </x:c>
      <x:c r="R201" s="6" t="n">
        <x:f>IF(Q201&gt;=Scope!$B$9,1,0)</x:f>
        <x:v>1</x:v>
      </x:c>
      <x:c r="S201" s="8" t="n">
        <x:v>0.9096532272</x:v>
      </x:c>
      <x:c r="T201" s="6" t="n">
        <x:f>IF(S201&gt;=Scope!$B$9,1,0)</x:f>
        <x:v>1</x:v>
      </x:c>
      <x:c r="U201" s="8" t="n">
        <x:v>0.7883597884</x:v>
      </x:c>
      <x:c r="V201" s="6" t="n">
        <x:f>IF(U201&gt;=Scope!$B$9,1,0)</x:f>
        <x:v>1</x:v>
      </x:c>
      <x:c r="W201" s="8" t="n">
        <x:f>(F201-Q201)^2</x:f>
        <x:v>0.025234204887693963</x:v>
      </x:c>
      <x:c r="X201" s="8" t="n">
        <x:f>(F201-S201)^2</x:f>
        <x:v>0.008162539355374825</x:v>
      </x:c>
      <x:c r="Y201" s="8" t="n">
        <x:f>(F201-U201)^2</x:f>
        <x:v>0.04479157916609278</x:v>
      </x:c>
    </x:row>
    <x:row r="202" ht="28" customHeight="1">
      <x:c r="A202" s="4" t="str">
        <x:v>UCSD-PTGBM-0150_02</x:v>
      </x:c>
      <x:c r="B202" s="4" t="str">
        <x:v>UCSD-PTGBM-0150</x:v>
      </x:c>
      <x:c r="C202" s="4" t="str">
        <x:v>BraTS-GLI-02405-101</x:v>
      </x:c>
      <x:c r="D202" s="4" t="str">
        <x:v>BraTS-GLI-02405</x:v>
      </x:c>
      <x:c r="E202" s="4" t="str">
        <x:v>dualid:UCSD-PTGBM-0150</x:v>
      </x:c>
      <x:c r="F202" s="6" t="n">
        <x:v>0</x:v>
      </x:c>
      <x:c r="G202" s="4" t="str">
        <x:v>explicit_negative_case_list</x:v>
      </x:c>
      <x:c r="H202" s="6" t="n">
        <x:v>76</x:v>
      </x:c>
      <x:c r="I202" s="6" t="n">
        <x:v>0</x:v>
      </x:c>
      <x:c r="J202" s="6" t="n">
        <x:v>0</x:v>
      </x:c>
      <x:c r="K202" s="4" t="str">
        <x:v>-351</x:v>
      </x:c>
      <x:c r="L202" s="6" t="n">
        <x:v>351</x:v>
      </x:c>
      <x:c r="M202" s="6" t="n">
        <x:v>5.8636311756</x:v>
      </x:c>
      <x:c r="N202" s="6" t="n">
        <x:v>0</x:v>
      </x:c>
      <x:c r="O202" s="4" t="str">
        <x:v>Glioblastoma</x:v>
      </x:c>
      <x:c r="P202" s="6" t="n">
        <x:v>2</x:v>
      </x:c>
      <x:c r="Q202" s="8" t="n">
        <x:v>0.8411472226</x:v>
      </x:c>
      <x:c r="R202" s="6" t="n">
        <x:f>IF(Q202&gt;=Scope!$B$9,1,0)</x:f>
        <x:v>1</x:v>
      </x:c>
      <x:c r="S202" s="8" t="n">
        <x:v>0.7435064544</x:v>
      </x:c>
      <x:c r="T202" s="6" t="n">
        <x:f>IF(S202&gt;=Scope!$B$9,1,0)</x:f>
        <x:v>1</x:v>
      </x:c>
      <x:c r="U202" s="8" t="n">
        <x:v>0.7883597884</x:v>
      </x:c>
      <x:c r="V202" s="6" t="n">
        <x:f>IF(U202&gt;=Scope!$B$9,1,0)</x:f>
        <x:v>1</x:v>
      </x:c>
      <x:c r="W202" s="8" t="n">
        <x:f>(F202-Q202)^2</x:f>
        <x:v>0.7075286500876939</x:v>
      </x:c>
      <x:c r="X202" s="8" t="n">
        <x:f>(F202-S202)^2</x:f>
        <x:v>0.5528018477344592</x:v>
      </x:c>
      <x:c r="Y202" s="8" t="n">
        <x:f>(F202-U202)^2</x:f>
        <x:v>0.6215111559660927</x:v>
      </x:c>
    </x:row>
    <x:row r="203" ht="28" customHeight="1">
      <x:c r="A203" s="4" t="str">
        <x:v>UCSD-PTGBM-0151_01</x:v>
      </x:c>
      <x:c r="B203" s="4" t="str">
        <x:v>UCSD-PTGBM-0151</x:v>
      </x:c>
      <x:c r="C203" s="4" t="str">
        <x:v>BraTS-GLI-02406-100</x:v>
      </x:c>
      <x:c r="D203" s="4" t="str">
        <x:v>BraTS-GLI-02406</x:v>
      </x:c>
      <x:c r="E203" s="4" t="str">
        <x:v>dualid:UCSD-PTGBM-0151</x:v>
      </x:c>
      <x:c r="F203" s="6" t="n">
        <x:v>1</x:v>
      </x:c>
      <x:c r="G203" s="4" t="str">
        <x:v>derived_from_published_243_equals_192_plus_51_partition</x:v>
      </x:c>
      <x:c r="H203" s="6" t="n">
        <x:v>57</x:v>
      </x:c>
      <x:c r="I203" s="6" t="n">
        <x:v>1</x:v>
      </x:c>
      <x:c r="J203" s="6" t="n">
        <x:v>0</x:v>
      </x:c>
      <x:c r="K203" s="4" t="str">
        <x:v>Unknown</x:v>
      </x:c>
      <x:c r="L203" s="6"/>
      <x:c r="M203" s="6"/>
      <x:c r="N203" s="6" t="n">
        <x:v>1</x:v>
      </x:c>
      <x:c r="O203" s="4" t="str">
        <x:v>Glioblastoma</x:v>
      </x:c>
      <x:c r="P203" s="6" t="n">
        <x:v>3</x:v>
      </x:c>
      <x:c r="Q203" s="8" t="n">
        <x:v>0.8141138641</x:v>
      </x:c>
      <x:c r="R203" s="6" t="n">
        <x:f>IF(Q203&gt;=Scope!$B$9,1,0)</x:f>
        <x:v>1</x:v>
      </x:c>
      <x:c r="S203" s="8" t="n">
        <x:v>0.9119016503</x:v>
      </x:c>
      <x:c r="T203" s="6" t="n">
        <x:f>IF(S203&gt;=Scope!$B$9,1,0)</x:f>
        <x:v>1</x:v>
      </x:c>
      <x:c r="U203" s="8" t="n">
        <x:v>0.7853403141</x:v>
      </x:c>
      <x:c r="V203" s="6" t="n">
        <x:f>IF(U203&gt;=Scope!$B$9,1,0)</x:f>
        <x:v>1</x:v>
      </x:c>
      <x:c r="W203" s="8" t="n">
        <x:f>(F203-Q203)^2</x:f>
        <x:v>0.034553655519833276</x:v>
      </x:c>
      <x:c r="X203" s="8" t="n">
        <x:f>(F203-S203)^2</x:f>
        <x:v>0.007761319219863484</x:v>
      </x:c>
      <x:c r="Y203" s="8" t="n">
        <x:f>(F203-U203)^2</x:f>
        <x:v>0.04607878075068664</x:v>
      </x:c>
    </x:row>
    <x:row r="204" ht="28" customHeight="1">
      <x:c r="A204" s="4" t="str">
        <x:v>UCSD-PTGBM-0152_01</x:v>
      </x:c>
      <x:c r="B204" s="4" t="str">
        <x:v>UCSD-PTGBM-0152</x:v>
      </x:c>
      <x:c r="C204" s="4" t="str">
        <x:v>BraTS-GLI-02407-100</x:v>
      </x:c>
      <x:c r="D204" s="4" t="str">
        <x:v>BraTS-GLI-02407</x:v>
      </x:c>
      <x:c r="E204" s="4" t="str">
        <x:v>dualid:UCSD-PTGBM-0152</x:v>
      </x:c>
      <x:c r="F204" s="6" t="n">
        <x:v>1</x:v>
      </x:c>
      <x:c r="G204" s="4" t="str">
        <x:v>derived_from_published_243_equals_192_plus_51_partition</x:v>
      </x:c>
      <x:c r="H204" s="6" t="n">
        <x:v>44</x:v>
      </x:c>
      <x:c r="I204" s="6" t="n">
        <x:v>1</x:v>
      </x:c>
      <x:c r="J204" s="6" t="n">
        <x:v>1</x:v>
      </x:c>
      <x:c r="K204" s="4" t="str">
        <x:v>Unknown</x:v>
      </x:c>
      <x:c r="L204" s="6"/>
      <x:c r="M204" s="6"/>
      <x:c r="N204" s="6" t="n">
        <x:v>1</x:v>
      </x:c>
      <x:c r="O204" s="4" t="str">
        <x:v>Glioblastoma</x:v>
      </x:c>
      <x:c r="P204" s="6" t="n">
        <x:v>5</x:v>
      </x:c>
      <x:c r="Q204" s="8" t="n">
        <x:v>0.7514170807</x:v>
      </x:c>
      <x:c r="R204" s="6" t="n">
        <x:f>IF(Q204&gt;=Scope!$B$9,1,0)</x:f>
        <x:v>1</x:v>
      </x:c>
      <x:c r="S204" s="8" t="n">
        <x:v>0.9213643953</x:v>
      </x:c>
      <x:c r="T204" s="6" t="n">
        <x:f>IF(S204&gt;=Scope!$B$9,1,0)</x:f>
        <x:v>1</x:v>
      </x:c>
      <x:c r="U204" s="8" t="n">
        <x:v>0.7853403141</x:v>
      </x:c>
      <x:c r="V204" s="6" t="n">
        <x:f>IF(U204&gt;=Scope!$B$9,1,0)</x:f>
        <x:v>1</x:v>
      </x:c>
      <x:c r="W204" s="8" t="n">
        <x:f>(F204-Q204)^2</x:f>
        <x:v>0.0617934677677103</x:v>
      </x:c>
      <x:c r="X204" s="8" t="n">
        <x:f>(F204-S204)^2</x:f>
        <x:v>0.006183558326534657</x:v>
      </x:c>
      <x:c r="Y204" s="8" t="n">
        <x:f>(F204-U204)^2</x:f>
        <x:v>0.04607878075068664</x:v>
      </x:c>
    </x:row>
    <x:row r="205" ht="28" customHeight="1">
      <x:c r="A205" s="4" t="str">
        <x:v>UCSD-PTGBM-0153_01</x:v>
      </x:c>
      <x:c r="B205" s="4" t="str">
        <x:v>UCSD-PTGBM-0153</x:v>
      </x:c>
      <x:c r="C205" s="4" t="str">
        <x:v>BraTS-GLI-02408-100</x:v>
      </x:c>
      <x:c r="D205" s="4" t="str">
        <x:v>BraTS-GLI-02408</x:v>
      </x:c>
      <x:c r="E205" s="4" t="str">
        <x:v>dualid:UCSD-PTGBM-0153</x:v>
      </x:c>
      <x:c r="F205" s="6" t="n">
        <x:v>1</x:v>
      </x:c>
      <x:c r="G205" s="4" t="str">
        <x:v>derived_from_published_243_equals_192_plus_51_partition</x:v>
      </x:c>
      <x:c r="H205" s="6" t="n">
        <x:v>56</x:v>
      </x:c>
      <x:c r="I205" s="6" t="n">
        <x:v>0</x:v>
      </x:c>
      <x:c r="J205" s="6" t="n">
        <x:v>0</x:v>
      </x:c>
      <x:c r="K205" s="4" t="str">
        <x:v>Unknown</x:v>
      </x:c>
      <x:c r="L205" s="6"/>
      <x:c r="M205" s="6"/>
      <x:c r="N205" s="6" t="n">
        <x:v>1</x:v>
      </x:c>
      <x:c r="O205" s="4" t="str">
        <x:v>Glioblastoma</x:v>
      </x:c>
      <x:c r="P205" s="6" t="n">
        <x:v>1</x:v>
      </x:c>
      <x:c r="Q205" s="8" t="n">
        <x:v>0.7346143091</x:v>
      </x:c>
      <x:c r="R205" s="6" t="n">
        <x:f>IF(Q205&gt;=Scope!$B$9,1,0)</x:f>
        <x:v>1</x:v>
      </x:c>
      <x:c r="S205" s="8" t="n">
        <x:v>0.8545554669</x:v>
      </x:c>
      <x:c r="T205" s="6" t="n">
        <x:f>IF(S205&gt;=Scope!$B$9,1,0)</x:f>
        <x:v>1</x:v>
      </x:c>
      <x:c r="U205" s="8" t="n">
        <x:v>0.7842105263</x:v>
      </x:c>
      <x:c r="V205" s="6" t="n">
        <x:f>IF(U205&gt;=Scope!$B$9,1,0)</x:f>
        <x:v>1</x:v>
      </x:c>
      <x:c r="W205" s="8" t="n">
        <x:f>(F205-Q205)^2</x:f>
        <x:v>0.07042956493447032</x:v>
      </x:c>
      <x:c r="X205" s="8" t="n">
        <x:f>(F205-S205)^2</x:f>
        <x:v>0.02115411220867701</x:v>
      </x:c>
      <x:c r="Y205" s="8" t="n">
        <x:f>(F205-U205)^2</x:f>
        <x:v>0.046565096959722996</x:v>
      </x:c>
    </x:row>
    <x:row r="206" ht="28" customHeight="1">
      <x:c r="A206" s="4" t="str">
        <x:v>UCSD-PTGBM-0154_01</x:v>
      </x:c>
      <x:c r="B206" s="4" t="str">
        <x:v>UCSD-PTGBM-0154</x:v>
      </x:c>
      <x:c r="C206" s="4" t="str">
        <x:v>BraTS-GLI-02409-100</x:v>
      </x:c>
      <x:c r="D206" s="4" t="str">
        <x:v>BraTS-GLI-02409</x:v>
      </x:c>
      <x:c r="E206" s="4" t="str">
        <x:v>dualid:UCSD-PTGBM-0154</x:v>
      </x:c>
      <x:c r="F206" s="6" t="n">
        <x:v>1</x:v>
      </x:c>
      <x:c r="G206" s="4" t="str">
        <x:v>derived_from_published_243_equals_192_plus_51_partition</x:v>
      </x:c>
      <x:c r="H206" s="6" t="n">
        <x:v>61</x:v>
      </x:c>
      <x:c r="I206" s="6" t="n">
        <x:v>1</x:v>
      </x:c>
      <x:c r="J206" s="6" t="n">
        <x:v>0</x:v>
      </x:c>
      <x:c r="K206" s="4" t="str">
        <x:v>-161</x:v>
      </x:c>
      <x:c r="L206" s="6" t="n">
        <x:v>161</x:v>
      </x:c>
      <x:c r="M206" s="6" t="n">
        <x:v>5.0875963352</x:v>
      </x:c>
      <x:c r="N206" s="6" t="n">
        <x:v>0</x:v>
      </x:c>
      <x:c r="O206" s="4" t="str">
        <x:v>Glioblastoma</x:v>
      </x:c>
      <x:c r="P206" s="6" t="n">
        <x:v>1</x:v>
      </x:c>
      <x:c r="Q206" s="8" t="n">
        <x:v>0.8397585897</x:v>
      </x:c>
      <x:c r="R206" s="6" t="n">
        <x:f>IF(Q206&gt;=Scope!$B$9,1,0)</x:f>
        <x:v>1</x:v>
      </x:c>
      <x:c r="S206" s="8" t="n">
        <x:v>0.7813001996</x:v>
      </x:c>
      <x:c r="T206" s="6" t="n">
        <x:f>IF(S206&gt;=Scope!$B$9,1,0)</x:f>
        <x:v>1</x:v>
      </x:c>
      <x:c r="U206" s="8" t="n">
        <x:v>0.7842105263</x:v>
      </x:c>
      <x:c r="V206" s="6" t="n">
        <x:f>IF(U206&gt;=Scope!$B$9,1,0)</x:f>
        <x:v>1</x:v>
      </x:c>
      <x:c r="W206" s="8" t="n">
        <x:f>(F206-Q206)^2</x:f>
        <x:v>0.025677309574932965</x:v>
      </x:c>
      <x:c r="X206" s="8" t="n">
        <x:f>(F206-S206)^2</x:f>
        <x:v>0.047829602694999855</x:v>
      </x:c>
      <x:c r="Y206" s="8" t="n">
        <x:f>(F206-U206)^2</x:f>
        <x:v>0.046565096959722996</x:v>
      </x:c>
    </x:row>
    <x:row r="207" ht="28" customHeight="1">
      <x:c r="A207" s="4" t="str">
        <x:v>UCSD-PTGBM-0155_01</x:v>
      </x:c>
      <x:c r="B207" s="4" t="str">
        <x:v>UCSD-PTGBM-0155</x:v>
      </x:c>
      <x:c r="C207" s="4" t="str">
        <x:v>BraTS-GLI-02410-100</x:v>
      </x:c>
      <x:c r="D207" s="4" t="str">
        <x:v>BraTS-GLI-02410</x:v>
      </x:c>
      <x:c r="E207" s="4" t="str">
        <x:v>dualid:UCSD-PTGBM-0155</x:v>
      </x:c>
      <x:c r="F207" s="6" t="n">
        <x:v>1</x:v>
      </x:c>
      <x:c r="G207" s="4" t="str">
        <x:v>derived_from_published_243_equals_192_plus_51_partition</x:v>
      </x:c>
      <x:c r="H207" s="6" t="n">
        <x:v>37</x:v>
      </x:c>
      <x:c r="I207" s="6" t="n">
        <x:v>1</x:v>
      </x:c>
      <x:c r="J207" s="6" t="n">
        <x:v>0</x:v>
      </x:c>
      <x:c r="K207" s="4" t="str">
        <x:v>-9</x:v>
      </x:c>
      <x:c r="L207" s="6" t="n">
        <x:v>9</x:v>
      </x:c>
      <x:c r="M207" s="6" t="n">
        <x:v>2.302585093</x:v>
      </x:c>
      <x:c r="N207" s="6" t="n">
        <x:v>0</x:v>
      </x:c>
      <x:c r="O207" s="4" t="str">
        <x:v>Glioblastoma</x:v>
      </x:c>
      <x:c r="P207" s="6" t="n">
        <x:v>2</x:v>
      </x:c>
      <x:c r="Q207" s="8" t="n">
        <x:v>0.7220066552</x:v>
      </x:c>
      <x:c r="R207" s="6" t="n">
        <x:f>IF(Q207&gt;=Scope!$B$9,1,0)</x:f>
        <x:v>1</x:v>
      </x:c>
      <x:c r="S207" s="8" t="n">
        <x:v>0.8636041967</x:v>
      </x:c>
      <x:c r="T207" s="6" t="n">
        <x:f>IF(S207&gt;=Scope!$B$9,1,0)</x:f>
        <x:v>1</x:v>
      </x:c>
      <x:c r="U207" s="8" t="n">
        <x:v>0.7883597884</x:v>
      </x:c>
      <x:c r="V207" s="6" t="n">
        <x:f>IF(U207&gt;=Scope!$B$9,1,0)</x:f>
        <x:v>1</x:v>
      </x:c>
      <x:c r="W207" s="8" t="n">
        <x:f>(F207-Q207)^2</x:f>
        <x:v>0.07728029975309171</x:v>
      </x:c>
      <x:c r="X207" s="8" t="n">
        <x:f>(F207-S207)^2</x:f>
        <x:v>0.018603815157852293</x:v>
      </x:c>
      <x:c r="Y207" s="8" t="n">
        <x:f>(F207-U207)^2</x:f>
        <x:v>0.04479157916609278</x:v>
      </x:c>
    </x:row>
    <x:row r="208" ht="28" customHeight="1">
      <x:c r="A208" s="4" t="str">
        <x:v>UCSD-PTGBM-0155_02</x:v>
      </x:c>
      <x:c r="B208" s="4" t="str">
        <x:v>UCSD-PTGBM-0155</x:v>
      </x:c>
      <x:c r="C208" s="4" t="str">
        <x:v>BraTS-GLI-02410-101</x:v>
      </x:c>
      <x:c r="D208" s="4" t="str">
        <x:v>BraTS-GLI-02410</x:v>
      </x:c>
      <x:c r="E208" s="4" t="str">
        <x:v>dualid:UCSD-PTGBM-0155</x:v>
      </x:c>
      <x:c r="F208" s="6" t="n">
        <x:v>1</x:v>
      </x:c>
      <x:c r="G208" s="4" t="str">
        <x:v>derived_from_published_243_equals_192_plus_51_partition</x:v>
      </x:c>
      <x:c r="H208" s="6" t="n">
        <x:v>37</x:v>
      </x:c>
      <x:c r="I208" s="6" t="n">
        <x:v>1</x:v>
      </x:c>
      <x:c r="J208" s="6" t="n">
        <x:v>0</x:v>
      </x:c>
      <x:c r="K208" s="4" t="str">
        <x:v>-195</x:v>
      </x:c>
      <x:c r="L208" s="6" t="n">
        <x:v>195</x:v>
      </x:c>
      <x:c r="M208" s="6" t="n">
        <x:v>5.2781146592</x:v>
      </x:c>
      <x:c r="N208" s="6" t="n">
        <x:v>0</x:v>
      </x:c>
      <x:c r="O208" s="4" t="str">
        <x:v>Glioblastoma</x:v>
      </x:c>
      <x:c r="P208" s="6" t="n">
        <x:v>2</x:v>
      </x:c>
      <x:c r="Q208" s="8" t="n">
        <x:v>0.7220066552</x:v>
      </x:c>
      <x:c r="R208" s="6" t="n">
        <x:f>IF(Q208&gt;=Scope!$B$9,1,0)</x:f>
        <x:v>1</x:v>
      </x:c>
      <x:c r="S208" s="8" t="n">
        <x:v>0.6720783947</x:v>
      </x:c>
      <x:c r="T208" s="6" t="n">
        <x:f>IF(S208&gt;=Scope!$B$9,1,0)</x:f>
        <x:v>1</x:v>
      </x:c>
      <x:c r="U208" s="8" t="n">
        <x:v>0.7883597884</x:v>
      </x:c>
      <x:c r="V208" s="6" t="n">
        <x:f>IF(U208&gt;=Scope!$B$9,1,0)</x:f>
        <x:v>1</x:v>
      </x:c>
      <x:c r="W208" s="8" t="n">
        <x:f>(F208-Q208)^2</x:f>
        <x:v>0.07728029975309171</x:v>
      </x:c>
      <x:c r="X208" s="8" t="n">
        <x:f>(F208-S208)^2</x:f>
        <x:v>0.10753257922252901</x:v>
      </x:c>
      <x:c r="Y208" s="8" t="n">
        <x:f>(F208-U208)^2</x:f>
        <x:v>0.04479157916609278</x:v>
      </x:c>
    </x:row>
    <x:row r="209" ht="28" customHeight="1">
      <x:c r="A209" s="4" t="str">
        <x:v>UCSD-PTGBM-0156_01</x:v>
      </x:c>
      <x:c r="B209" s="4" t="str">
        <x:v>UCSD-PTGBM-0156</x:v>
      </x:c>
      <x:c r="C209" s="4" t="str">
        <x:v>BraTS-GLI-02411-100</x:v>
      </x:c>
      <x:c r="D209" s="4" t="str">
        <x:v>BraTS-GLI-02411</x:v>
      </x:c>
      <x:c r="E209" s="4" t="str">
        <x:v>dualid:UCSD-PTGBM-0156</x:v>
      </x:c>
      <x:c r="F209" s="6" t="n">
        <x:v>1</x:v>
      </x:c>
      <x:c r="G209" s="4" t="str">
        <x:v>derived_from_published_243_equals_192_plus_51_partition</x:v>
      </x:c>
      <x:c r="H209" s="6" t="n">
        <x:v>55</x:v>
      </x:c>
      <x:c r="I209" s="6" t="n">
        <x:v>1</x:v>
      </x:c>
      <x:c r="J209" s="6" t="n">
        <x:v>0</x:v>
      </x:c>
      <x:c r="K209" s="4" t="str">
        <x:v>Unknown</x:v>
      </x:c>
      <x:c r="L209" s="6"/>
      <x:c r="M209" s="6"/>
      <x:c r="N209" s="6" t="n">
        <x:v>1</x:v>
      </x:c>
      <x:c r="O209" s="4" t="str">
        <x:v>Glioblastoma</x:v>
      </x:c>
      <x:c r="P209" s="6" t="n">
        <x:v>2</x:v>
      </x:c>
      <x:c r="Q209" s="8" t="n">
        <x:v>0.8086078287</x:v>
      </x:c>
      <x:c r="R209" s="6" t="n">
        <x:f>IF(Q209&gt;=Scope!$B$9,1,0)</x:f>
        <x:v>1</x:v>
      </x:c>
      <x:c r="S209" s="8" t="n">
        <x:v>0.8890124685</x:v>
      </x:c>
      <x:c r="T209" s="6" t="n">
        <x:f>IF(S209&gt;=Scope!$B$9,1,0)</x:f>
        <x:v>1</x:v>
      </x:c>
      <x:c r="U209" s="8" t="n">
        <x:v>0.7883597884</x:v>
      </x:c>
      <x:c r="V209" s="6" t="n">
        <x:f>IF(U209&gt;=Scope!$B$9,1,0)</x:f>
        <x:v>1</x:v>
      </x:c>
      <x:c r="W209" s="8" t="n">
        <x:f>(F209-Q209)^2</x:f>
        <x:v>0.03663096323492853</x:v>
      </x:c>
      <x:c r="X209" s="8" t="n">
        <x:f>(F209-S209)^2</x:f>
        <x:v>0.012318232148463483</x:v>
      </x:c>
      <x:c r="Y209" s="8" t="n">
        <x:f>(F209-U209)^2</x:f>
        <x:v>0.04479157916609278</x:v>
      </x:c>
    </x:row>
    <x:row r="210" ht="28" customHeight="1">
      <x:c r="A210" s="4" t="str">
        <x:v>UCSD-PTGBM-0157_01</x:v>
      </x:c>
      <x:c r="B210" s="4" t="str">
        <x:v>UCSD-PTGBM-0157</x:v>
      </x:c>
      <x:c r="C210" s="4" t="str">
        <x:v>BraTS-GLI-02412-100</x:v>
      </x:c>
      <x:c r="D210" s="4" t="str">
        <x:v>BraTS-GLI-02412</x:v>
      </x:c>
      <x:c r="E210" s="4" t="str">
        <x:v>dualid:UCSD-PTGBM-0157</x:v>
      </x:c>
      <x:c r="F210" s="6" t="n">
        <x:v>1</x:v>
      </x:c>
      <x:c r="G210" s="4" t="str">
        <x:v>derived_from_published_243_equals_192_plus_51_partition</x:v>
      </x:c>
      <x:c r="H210" s="6" t="n">
        <x:v>53</x:v>
      </x:c>
      <x:c r="I210" s="6" t="n">
        <x:v>1</x:v>
      </x:c>
      <x:c r="J210" s="6" t="n">
        <x:v>1</x:v>
      </x:c>
      <x:c r="K210" s="4" t="str">
        <x:v>-238</x:v>
      </x:c>
      <x:c r="L210" s="6" t="n">
        <x:v>238</x:v>
      </x:c>
      <x:c r="M210" s="6" t="n">
        <x:v>5.4764635519</x:v>
      </x:c>
      <x:c r="N210" s="6" t="n">
        <x:v>0</x:v>
      </x:c>
      <x:c r="O210" s="4" t="str">
        <x:v>Glioblastoma</x:v>
      </x:c>
      <x:c r="P210" s="6" t="n">
        <x:v>4</x:v>
      </x:c>
      <x:c r="Q210" s="8" t="n">
        <x:v>0.8062713765</x:v>
      </x:c>
      <x:c r="R210" s="6" t="n">
        <x:f>IF(Q210&gt;=Scope!$B$9,1,0)</x:f>
        <x:v>1</x:v>
      </x:c>
      <x:c r="S210" s="8" t="n">
        <x:v>0.7952694566</x:v>
      </x:c>
      <x:c r="T210" s="6" t="n">
        <x:f>IF(S210&gt;=Scope!$B$9,1,0)</x:f>
        <x:v>1</x:v>
      </x:c>
      <x:c r="U210" s="8" t="n">
        <x:v>0.7853403141</x:v>
      </x:c>
      <x:c r="V210" s="6" t="n">
        <x:f>IF(U210&gt;=Scope!$B$9,1,0)</x:f>
        <x:v>1</x:v>
      </x:c>
      <x:c r="W210" s="8" t="n">
        <x:f>(F210-Q210)^2</x:f>
        <x:v>0.03753077956320474</x:v>
      </x:c>
      <x:c r="X210" s="8" t="n">
        <x:f>(F210-S210)^2</x:f>
        <x:v>0.04191459540085927</x:v>
      </x:c>
      <x:c r="Y210" s="8" t="n">
        <x:f>(F210-U210)^2</x:f>
        <x:v>0.04607878075068664</x:v>
      </x:c>
    </x:row>
    <x:row r="211" ht="28" customHeight="1">
      <x:c r="A211" s="4" t="str">
        <x:v>UCSD-PTGBM-0158_01</x:v>
      </x:c>
      <x:c r="B211" s="4" t="str">
        <x:v>UCSD-PTGBM-0158</x:v>
      </x:c>
      <x:c r="C211" s="4" t="str">
        <x:v>BraTS-GLI-02413-100</x:v>
      </x:c>
      <x:c r="D211" s="4" t="str">
        <x:v>BraTS-GLI-02413</x:v>
      </x:c>
      <x:c r="E211" s="4" t="str">
        <x:v>dualid:UCSD-PTGBM-0158</x:v>
      </x:c>
      <x:c r="F211" s="6" t="n">
        <x:v>1</x:v>
      </x:c>
      <x:c r="G211" s="4" t="str">
        <x:v>derived_from_published_243_equals_192_plus_51_partition</x:v>
      </x:c>
      <x:c r="H211" s="6" t="n">
        <x:v>73</x:v>
      </x:c>
      <x:c r="I211" s="6" t="n">
        <x:v>1</x:v>
      </x:c>
      <x:c r="J211" s="6" t="n">
        <x:v>0</x:v>
      </x:c>
      <x:c r="K211" s="4" t="str">
        <x:v>Unknown</x:v>
      </x:c>
      <x:c r="L211" s="6"/>
      <x:c r="M211" s="6"/>
      <x:c r="N211" s="6" t="n">
        <x:v>1</x:v>
      </x:c>
      <x:c r="O211" s="4" t="str">
        <x:v>Glioblastoma</x:v>
      </x:c>
      <x:c r="P211" s="6" t="n">
        <x:v>4</x:v>
      </x:c>
      <x:c r="Q211" s="8" t="n">
        <x:v>0.8904893016</x:v>
      </x:c>
      <x:c r="R211" s="6" t="n">
        <x:f>IF(Q211&gt;=Scope!$B$9,1,0)</x:f>
        <x:v>1</x:v>
      </x:c>
      <x:c r="S211" s="8" t="n">
        <x:v>0.9193106946</x:v>
      </x:c>
      <x:c r="T211" s="6" t="n">
        <x:f>IF(S211&gt;=Scope!$B$9,1,0)</x:f>
        <x:v>1</x:v>
      </x:c>
      <x:c r="U211" s="8" t="n">
        <x:v>0.7853403141</x:v>
      </x:c>
      <x:c r="V211" s="6" t="n">
        <x:f>IF(U211&gt;=Scope!$B$9,1,0)</x:f>
        <x:v>1</x:v>
      </x:c>
      <x:c r="W211" s="8" t="n">
        <x:f>(F211-Q211)^2</x:f>
        <x:v>0.011992593064055774</x:v>
      </x:c>
      <x:c r="X211" s="8" t="n">
        <x:f>(F211-S211)^2</x:f>
        <x:v>0.0065107640059344635</x:v>
      </x:c>
      <x:c r="Y211" s="8" t="n">
        <x:f>(F211-U211)^2</x:f>
        <x:v>0.04607878075068664</x:v>
      </x:c>
    </x:row>
    <x:row r="212" ht="28" customHeight="1">
      <x:c r="A212" s="4" t="str">
        <x:v>UCSD-PTGBM-0159_01</x:v>
      </x:c>
      <x:c r="B212" s="4" t="str">
        <x:v>UCSD-PTGBM-0159</x:v>
      </x:c>
      <x:c r="C212" s="4" t="str">
        <x:v>BraTS-GLI-02414-100</x:v>
      </x:c>
      <x:c r="D212" s="4" t="str">
        <x:v>BraTS-GLI-02414</x:v>
      </x:c>
      <x:c r="E212" s="4" t="str">
        <x:v>dualid:UCSD-PTGBM-0159</x:v>
      </x:c>
      <x:c r="F212" s="6" t="n">
        <x:v>1</x:v>
      </x:c>
      <x:c r="G212" s="4" t="str">
        <x:v>derived_from_published_243_equals_192_plus_51_partition</x:v>
      </x:c>
      <x:c r="H212" s="6" t="n">
        <x:v>38</x:v>
      </x:c>
      <x:c r="I212" s="6" t="n">
        <x:v>1</x:v>
      </x:c>
      <x:c r="J212" s="6" t="n">
        <x:v>1</x:v>
      </x:c>
      <x:c r="K212" s="4" t="str">
        <x:v>-456</x:v>
      </x:c>
      <x:c r="L212" s="6" t="n">
        <x:v>456</x:v>
      </x:c>
      <x:c r="M212" s="6" t="n">
        <x:v>6.1246833909</x:v>
      </x:c>
      <x:c r="N212" s="6" t="n">
        <x:v>0</x:v>
      </x:c>
      <x:c r="O212" s="4" t="str">
        <x:v>Glioblastoma</x:v>
      </x:c>
      <x:c r="P212" s="6" t="n">
        <x:v>4</x:v>
      </x:c>
      <x:c r="Q212" s="8" t="n">
        <x:v>0.7157795288</x:v>
      </x:c>
      <x:c r="R212" s="6" t="n">
        <x:f>IF(Q212&gt;=Scope!$B$9,1,0)</x:f>
        <x:v>1</x:v>
      </x:c>
      <x:c r="S212" s="8" t="n">
        <x:v>0.6575531194</x:v>
      </x:c>
      <x:c r="T212" s="6" t="n">
        <x:f>IF(S212&gt;=Scope!$B$9,1,0)</x:f>
        <x:v>1</x:v>
      </x:c>
      <x:c r="U212" s="8" t="n">
        <x:v>0.7853403141</x:v>
      </x:c>
      <x:c r="V212" s="6" t="n">
        <x:f>IF(U212&gt;=Scope!$B$9,1,0)</x:f>
        <x:v>1</x:v>
      </x:c>
      <x:c r="W212" s="8" t="n">
        <x:f>(F212-Q212)^2</x:f>
        <x:v>0.08078127624915006</x:v>
      </x:c>
      <x:c r="X212" s="8" t="n">
        <x:f>(F212-S212)^2</x:f>
        <x:v>0.11726986603267062</x:v>
      </x:c>
      <x:c r="Y212" s="8" t="n">
        <x:f>(F212-U212)^2</x:f>
        <x:v>0.04607878075068664</x:v>
      </x:c>
    </x:row>
    <x:row r="213" ht="28" customHeight="1">
      <x:c r="A213" s="4" t="str">
        <x:v>UCSD-PTGBM-0160_01</x:v>
      </x:c>
      <x:c r="B213" s="4" t="str">
        <x:v>UCSD-PTGBM-0160</x:v>
      </x:c>
      <x:c r="C213" s="4" t="str">
        <x:v>BraTS-GLI-02415-100</x:v>
      </x:c>
      <x:c r="D213" s="4" t="str">
        <x:v>BraTS-GLI-02415</x:v>
      </x:c>
      <x:c r="E213" s="4" t="str">
        <x:v>dualid:UCSD-PTGBM-0160</x:v>
      </x:c>
      <x:c r="F213" s="6" t="n">
        <x:v>1</x:v>
      </x:c>
      <x:c r="G213" s="4" t="str">
        <x:v>derived_from_published_243_equals_192_plus_51_partition</x:v>
      </x:c>
      <x:c r="H213" s="6" t="n">
        <x:v>30</x:v>
      </x:c>
      <x:c r="I213" s="6" t="n">
        <x:v>1</x:v>
      </x:c>
      <x:c r="J213" s="6" t="n">
        <x:v>0</x:v>
      </x:c>
      <x:c r="K213" s="4" t="str">
        <x:v>-81</x:v>
      </x:c>
      <x:c r="L213" s="6" t="n">
        <x:v>81</x:v>
      </x:c>
      <x:c r="M213" s="6" t="n">
        <x:v>4.4067192473</x:v>
      </x:c>
      <x:c r="N213" s="6" t="n">
        <x:v>0</x:v>
      </x:c>
      <x:c r="O213" s="4" t="str">
        <x:v>Glioblastoma</x:v>
      </x:c>
      <x:c r="P213" s="6" t="n">
        <x:v>5</x:v>
      </x:c>
      <x:c r="Q213" s="8" t="n">
        <x:v>0.6582603311</x:v>
      </x:c>
      <x:c r="R213" s="6" t="n">
        <x:f>IF(Q213&gt;=Scope!$B$9,1,0)</x:f>
        <x:v>1</x:v>
      </x:c>
      <x:c r="S213" s="8" t="n">
        <x:v>0.731187671</x:v>
      </x:c>
      <x:c r="T213" s="6" t="n">
        <x:f>IF(S213&gt;=Scope!$B$9,1,0)</x:f>
        <x:v>1</x:v>
      </x:c>
      <x:c r="U213" s="8" t="n">
        <x:v>0.7853403141</x:v>
      </x:c>
      <x:c r="V213" s="6" t="n">
        <x:f>IF(U213&gt;=Scope!$B$9,1,0)</x:f>
        <x:v>1</x:v>
      </x:c>
      <x:c r="W213" s="8" t="n">
        <x:f>(F213-Q213)^2</x:f>
        <x:v>0.1167860012998816</x:v>
      </x:c>
      <x:c r="X213" s="8" t="n">
        <x:f>(F213-S213)^2</x:f>
        <x:v>0.07226006822240422</x:v>
      </x:c>
      <x:c r="Y213" s="8" t="n">
        <x:f>(F213-U213)^2</x:f>
        <x:v>0.04607878075068664</x:v>
      </x:c>
    </x:row>
    <x:row r="214" ht="28" customHeight="1">
      <x:c r="A214" s="4" t="str">
        <x:v>UCSD-PTGBM-0161_01</x:v>
      </x:c>
      <x:c r="B214" s="4" t="str">
        <x:v>UCSD-PTGBM-0161</x:v>
      </x:c>
      <x:c r="C214" s="4" t="str">
        <x:v>BraTS-GLI-02416-100</x:v>
      </x:c>
      <x:c r="D214" s="4" t="str">
        <x:v>BraTS-GLI-02416</x:v>
      </x:c>
      <x:c r="E214" s="4" t="str">
        <x:v>dualid:UCSD-PTGBM-0161</x:v>
      </x:c>
      <x:c r="F214" s="6" t="n">
        <x:v>1</x:v>
      </x:c>
      <x:c r="G214" s="4" t="str">
        <x:v>derived_from_published_243_equals_192_plus_51_partition</x:v>
      </x:c>
      <x:c r="H214" s="6" t="n">
        <x:v>45</x:v>
      </x:c>
      <x:c r="I214" s="6" t="n">
        <x:v>1</x:v>
      </x:c>
      <x:c r="J214" s="6" t="n">
        <x:v>1</x:v>
      </x:c>
      <x:c r="K214" s="4" t="str">
        <x:v>-810</x:v>
      </x:c>
      <x:c r="L214" s="6" t="n">
        <x:v>810</x:v>
      </x:c>
      <x:c r="M214" s="6" t="n">
        <x:v>6.6982680541</x:v>
      </x:c>
      <x:c r="N214" s="6" t="n">
        <x:v>0</x:v>
      </x:c>
      <x:c r="O214" s="4" t="str">
        <x:v>Glioblastoma</x:v>
      </x:c>
      <x:c r="P214" s="6" t="n">
        <x:v>2</x:v>
      </x:c>
      <x:c r="Q214" s="8" t="n">
        <x:v>0.7632683841</x:v>
      </x:c>
      <x:c r="R214" s="6" t="n">
        <x:f>IF(Q214&gt;=Scope!$B$9,1,0)</x:f>
        <x:v>1</x:v>
      </x:c>
      <x:c r="S214" s="8" t="n">
        <x:v>0.7146157774</x:v>
      </x:c>
      <x:c r="T214" s="6" t="n">
        <x:f>IF(S214&gt;=Scope!$B$9,1,0)</x:f>
        <x:v>1</x:v>
      </x:c>
      <x:c r="U214" s="8" t="n">
        <x:v>0.7883597884</x:v>
      </x:c>
      <x:c r="V214" s="6" t="n">
        <x:f>IF(U214&gt;=Scope!$B$9,1,0)</x:f>
        <x:v>1</x:v>
      </x:c>
      <x:c r="W214" s="8" t="n">
        <x:f>(F214-Q214)^2</x:f>
        <x:v>0.05604185796662514</x:v>
      </x:c>
      <x:c r="X214" s="8" t="n">
        <x:f>(F214-S214)^2</x:f>
        <x:v>0.08144415450900633</x:v>
      </x:c>
      <x:c r="Y214" s="8" t="n">
        <x:f>(F214-U214)^2</x:f>
        <x:v>0.04479157916609278</x:v>
      </x:c>
    </x:row>
    <x:row r="215" ht="28" customHeight="1">
      <x:c r="A215" s="4" t="str">
        <x:v>UCSD-PTGBM-0162_01</x:v>
      </x:c>
      <x:c r="B215" s="4" t="str">
        <x:v>UCSD-PTGBM-0162</x:v>
      </x:c>
      <x:c r="C215" s="4" t="str">
        <x:v>BraTS-GLI-02417-100</x:v>
      </x:c>
      <x:c r="D215" s="4" t="str">
        <x:v>BraTS-GLI-02417</x:v>
      </x:c>
      <x:c r="E215" s="4" t="str">
        <x:v>dualid:UCSD-PTGBM-0162</x:v>
      </x:c>
      <x:c r="F215" s="6" t="n">
        <x:v>1</x:v>
      </x:c>
      <x:c r="G215" s="4" t="str">
        <x:v>derived_from_published_243_equals_192_plus_51_partition</x:v>
      </x:c>
      <x:c r="H215" s="6" t="n">
        <x:v>51</x:v>
      </x:c>
      <x:c r="I215" s="6" t="n">
        <x:v>1</x:v>
      </x:c>
      <x:c r="J215" s="6" t="n">
        <x:v>0</x:v>
      </x:c>
      <x:c r="K215" s="4" t="str">
        <x:v>Unknown</x:v>
      </x:c>
      <x:c r="L215" s="6"/>
      <x:c r="M215" s="6"/>
      <x:c r="N215" s="6" t="n">
        <x:v>1</x:v>
      </x:c>
      <x:c r="O215" s="4" t="str">
        <x:v>Glioblastoma</x:v>
      </x:c>
      <x:c r="P215" s="6" t="n">
        <x:v>4</x:v>
      </x:c>
      <x:c r="Q215" s="8" t="n">
        <x:v>0.795594419</x:v>
      </x:c>
      <x:c r="R215" s="6" t="n">
        <x:f>IF(Q215&gt;=Scope!$B$9,1,0)</x:f>
        <x:v>1</x:v>
      </x:c>
      <x:c r="S215" s="8" t="n">
        <x:v>0.8769446401</x:v>
      </x:c>
      <x:c r="T215" s="6" t="n">
        <x:f>IF(S215&gt;=Scope!$B$9,1,0)</x:f>
        <x:v>1</x:v>
      </x:c>
      <x:c r="U215" s="8" t="n">
        <x:v>0.7853403141</x:v>
      </x:c>
      <x:c r="V215" s="6" t="n">
        <x:f>IF(U215&gt;=Scope!$B$9,1,0)</x:f>
        <x:v>1</x:v>
      </x:c>
      <x:c r="W215" s="8" t="n">
        <x:f>(F215-Q215)^2</x:f>
        <x:v>0.04178164154394754</x:v>
      </x:c>
      <x:c r="X215" s="8" t="n">
        <x:f>(F215-S215)^2</x:f>
        <x:v>0.01514262160011854</x:v>
      </x:c>
      <x:c r="Y215" s="8" t="n">
        <x:f>(F215-U215)^2</x:f>
        <x:v>0.04607878075068664</x:v>
      </x:c>
    </x:row>
    <x:row r="216" ht="28" customHeight="1">
      <x:c r="A216" s="4" t="str">
        <x:v>UCSD-PTGBM-0162_02</x:v>
      </x:c>
      <x:c r="B216" s="4" t="str">
        <x:v>UCSD-PTGBM-0162</x:v>
      </x:c>
      <x:c r="C216" s="4" t="str">
        <x:v>BraTS-GLI-02417-101</x:v>
      </x:c>
      <x:c r="D216" s="4" t="str">
        <x:v>BraTS-GLI-02417</x:v>
      </x:c>
      <x:c r="E216" s="4" t="str">
        <x:v>dualid:UCSD-PTGBM-0162</x:v>
      </x:c>
      <x:c r="F216" s="6" t="n">
        <x:v>1</x:v>
      </x:c>
      <x:c r="G216" s="4" t="str">
        <x:v>derived_from_published_243_equals_192_plus_51_partition</x:v>
      </x:c>
      <x:c r="H216" s="6" t="n">
        <x:v>51</x:v>
      </x:c>
      <x:c r="I216" s="6" t="n">
        <x:v>1</x:v>
      </x:c>
      <x:c r="J216" s="6" t="n">
        <x:v>0</x:v>
      </x:c>
      <x:c r="K216" s="4" t="str">
        <x:v>Unknown</x:v>
      </x:c>
      <x:c r="L216" s="6"/>
      <x:c r="M216" s="6"/>
      <x:c r="N216" s="6" t="n">
        <x:v>1</x:v>
      </x:c>
      <x:c r="O216" s="4" t="str">
        <x:v>Glioblastoma</x:v>
      </x:c>
      <x:c r="P216" s="6" t="n">
        <x:v>4</x:v>
      </x:c>
      <x:c r="Q216" s="8" t="n">
        <x:v>0.795594419</x:v>
      </x:c>
      <x:c r="R216" s="6" t="n">
        <x:f>IF(Q216&gt;=Scope!$B$9,1,0)</x:f>
        <x:v>1</x:v>
      </x:c>
      <x:c r="S216" s="8" t="n">
        <x:v>0.8769446401</x:v>
      </x:c>
      <x:c r="T216" s="6" t="n">
        <x:f>IF(S216&gt;=Scope!$B$9,1,0)</x:f>
        <x:v>1</x:v>
      </x:c>
      <x:c r="U216" s="8" t="n">
        <x:v>0.7853403141</x:v>
      </x:c>
      <x:c r="V216" s="6" t="n">
        <x:f>IF(U216&gt;=Scope!$B$9,1,0)</x:f>
        <x:v>1</x:v>
      </x:c>
      <x:c r="W216" s="8" t="n">
        <x:f>(F216-Q216)^2</x:f>
        <x:v>0.04178164154394754</x:v>
      </x:c>
      <x:c r="X216" s="8" t="n">
        <x:f>(F216-S216)^2</x:f>
        <x:v>0.01514262160011854</x:v>
      </x:c>
      <x:c r="Y216" s="8" t="n">
        <x:f>(F216-U216)^2</x:f>
        <x:v>0.04607878075068664</x:v>
      </x:c>
    </x:row>
    <x:row r="217" ht="28" customHeight="1">
      <x:c r="A217" s="4" t="str">
        <x:v>UCSD-PTGBM-0163_01</x:v>
      </x:c>
      <x:c r="B217" s="4" t="str">
        <x:v>UCSD-PTGBM-0163</x:v>
      </x:c>
      <x:c r="C217" s="4" t="str">
        <x:v>BraTS-GLI-02418-100</x:v>
      </x:c>
      <x:c r="D217" s="4" t="str">
        <x:v>BraTS-GLI-02418</x:v>
      </x:c>
      <x:c r="E217" s="4" t="str">
        <x:v>dualid:UCSD-PTGBM-0163</x:v>
      </x:c>
      <x:c r="F217" s="6" t="n">
        <x:v>1</x:v>
      </x:c>
      <x:c r="G217" s="4" t="str">
        <x:v>derived_from_published_243_equals_192_plus_51_partition</x:v>
      </x:c>
      <x:c r="H217" s="6" t="n">
        <x:v>67</x:v>
      </x:c>
      <x:c r="I217" s="6" t="n">
        <x:v>0</x:v>
      </x:c>
      <x:c r="J217" s="6" t="n">
        <x:v>0</x:v>
      </x:c>
      <x:c r="K217" s="4" t="str">
        <x:v>-21</x:v>
      </x:c>
      <x:c r="L217" s="6" t="n">
        <x:v>21</x:v>
      </x:c>
      <x:c r="M217" s="6" t="n">
        <x:v>3.0910424534</x:v>
      </x:c>
      <x:c r="N217" s="6" t="n">
        <x:v>0</x:v>
      </x:c>
      <x:c r="O217" s="4" t="str">
        <x:v>Glioblastoma</x:v>
      </x:c>
      <x:c r="P217" s="6" t="n">
        <x:v>1</x:v>
      </x:c>
      <x:c r="Q217" s="8" t="n">
        <x:v>0.7866973628</x:v>
      </x:c>
      <x:c r="R217" s="6" t="n">
        <x:f>IF(Q217&gt;=Scope!$B$9,1,0)</x:f>
        <x:v>1</x:v>
      </x:c>
      <x:c r="S217" s="8" t="n">
        <x:v>0.8564064204</x:v>
      </x:c>
      <x:c r="T217" s="6" t="n">
        <x:f>IF(S217&gt;=Scope!$B$9,1,0)</x:f>
        <x:v>1</x:v>
      </x:c>
      <x:c r="U217" s="8" t="n">
        <x:v>0.7842105263</x:v>
      </x:c>
      <x:c r="V217" s="6" t="n">
        <x:f>IF(U217&gt;=Scope!$B$9,1,0)</x:f>
        <x:v>1</x:v>
      </x:c>
      <x:c r="W217" s="8" t="n">
        <x:f>(F217-Q217)^2</x:f>
        <x:v>0.04549801503647481</x:v>
      </x:c>
      <x:c r="X217" s="8" t="n">
        <x:f>(F217-S217)^2</x:f>
        <x:v>0.020619116102341527</x:v>
      </x:c>
      <x:c r="Y217" s="8" t="n">
        <x:f>(F217-U217)^2</x:f>
        <x:v>0.046565096959722996</x:v>
      </x:c>
    </x:row>
    <x:row r="218" ht="28" customHeight="1">
      <x:c r="A218" s="4" t="str">
        <x:v>UCSD-PTGBM-0163_02</x:v>
      </x:c>
      <x:c r="B218" s="4" t="str">
        <x:v>UCSD-PTGBM-0163</x:v>
      </x:c>
      <x:c r="C218" s="4" t="str">
        <x:v>BraTS-GLI-02418-101</x:v>
      </x:c>
      <x:c r="D218" s="4" t="str">
        <x:v>BraTS-GLI-02418</x:v>
      </x:c>
      <x:c r="E218" s="4" t="str">
        <x:v>dualid:UCSD-PTGBM-0163</x:v>
      </x:c>
      <x:c r="F218" s="6" t="n">
        <x:v>0</x:v>
      </x:c>
      <x:c r="G218" s="4" t="str">
        <x:v>explicit_negative_case_list</x:v>
      </x:c>
      <x:c r="H218" s="6" t="n">
        <x:v>67</x:v>
      </x:c>
      <x:c r="I218" s="6" t="n">
        <x:v>0</x:v>
      </x:c>
      <x:c r="J218" s="6" t="n">
        <x:v>0</x:v>
      </x:c>
      <x:c r="K218" s="4" t="str">
        <x:v>-151</x:v>
      </x:c>
      <x:c r="L218" s="6" t="n">
        <x:v>151</x:v>
      </x:c>
      <x:c r="M218" s="6" t="n">
        <x:v>5.0238805208</x:v>
      </x:c>
      <x:c r="N218" s="6" t="n">
        <x:v>0</x:v>
      </x:c>
      <x:c r="O218" s="4" t="str">
        <x:v>Glioblastoma</x:v>
      </x:c>
      <x:c r="P218" s="6" t="n">
        <x:v>1</x:v>
      </x:c>
      <x:c r="Q218" s="8" t="n">
        <x:v>0.7866973628</x:v>
      </x:c>
      <x:c r="R218" s="6" t="n">
        <x:f>IF(Q218&gt;=Scope!$B$9,1,0)</x:f>
        <x:v>1</x:v>
      </x:c>
      <x:c r="S218" s="8" t="n">
        <x:v>0.7351858503</x:v>
      </x:c>
      <x:c r="T218" s="6" t="n">
        <x:f>IF(S218&gt;=Scope!$B$9,1,0)</x:f>
        <x:v>1</x:v>
      </x:c>
      <x:c r="U218" s="8" t="n">
        <x:v>0.7842105263</x:v>
      </x:c>
      <x:c r="V218" s="6" t="n">
        <x:f>IF(U218&gt;=Scope!$B$9,1,0)</x:f>
        <x:v>1</x:v>
      </x:c>
      <x:c r="W218" s="8" t="n">
        <x:f>(F218-Q218)^2</x:f>
        <x:v>0.6188927406364748</x:v>
      </x:c>
      <x:c r="X218" s="8" t="n">
        <x:f>(F218-S218)^2</x:f>
        <x:v>0.540498234481334</x:v>
      </x:c>
      <x:c r="Y218" s="8" t="n">
        <x:f>(F218-U218)^2</x:f>
        <x:v>0.614986149559723</x:v>
      </x:c>
    </x:row>
    <x:row r="219" ht="28" customHeight="1">
      <x:c r="A219" s="4" t="str">
        <x:v>UCSD-PTGBM-0163_03</x:v>
      </x:c>
      <x:c r="B219" s="4" t="str">
        <x:v>UCSD-PTGBM-0163</x:v>
      </x:c>
      <x:c r="C219" s="4" t="str">
        <x:v>BraTS-GLI-02418-102</x:v>
      </x:c>
      <x:c r="D219" s="4" t="str">
        <x:v>BraTS-GLI-02418</x:v>
      </x:c>
      <x:c r="E219" s="4" t="str">
        <x:v>dualid:UCSD-PTGBM-0163</x:v>
      </x:c>
      <x:c r="F219" s="6" t="n">
        <x:v>0</x:v>
      </x:c>
      <x:c r="G219" s="4" t="str">
        <x:v>explicit_negative_case_list</x:v>
      </x:c>
      <x:c r="H219" s="6" t="n">
        <x:v>67</x:v>
      </x:c>
      <x:c r="I219" s="6" t="n">
        <x:v>0</x:v>
      </x:c>
      <x:c r="J219" s="6" t="n">
        <x:v>0</x:v>
      </x:c>
      <x:c r="K219" s="4" t="str">
        <x:v>-989</x:v>
      </x:c>
      <x:c r="L219" s="6" t="n">
        <x:v>989</x:v>
      </x:c>
      <x:c r="M219" s="6" t="n">
        <x:v>6.8977049431</x:v>
      </x:c>
      <x:c r="N219" s="6" t="n">
        <x:v>0</x:v>
      </x:c>
      <x:c r="O219" s="4" t="str">
        <x:v>Glioblastoma</x:v>
      </x:c>
      <x:c r="P219" s="6" t="n">
        <x:v>1</x:v>
      </x:c>
      <x:c r="Q219" s="8" t="n">
        <x:v>0.7866973628</x:v>
      </x:c>
      <x:c r="R219" s="6" t="n">
        <x:f>IF(Q219&gt;=Scope!$B$9,1,0)</x:f>
        <x:v>1</x:v>
      </x:c>
      <x:c r="S219" s="8" t="n">
        <x:v>0.5694919953</x:v>
      </x:c>
      <x:c r="T219" s="6" t="n">
        <x:f>IF(S219&gt;=Scope!$B$9,1,0)</x:f>
        <x:v>1</x:v>
      </x:c>
      <x:c r="U219" s="8" t="n">
        <x:v>0.7842105263</x:v>
      </x:c>
      <x:c r="V219" s="6" t="n">
        <x:f>IF(U219&gt;=Scope!$B$9,1,0)</x:f>
        <x:v>1</x:v>
      </x:c>
      <x:c r="W219" s="8" t="n">
        <x:f>(F219-Q219)^2</x:f>
        <x:v>0.6188927406364748</x:v>
      </x:c>
      <x:c r="X219" s="8" t="n">
        <x:f>(F219-S219)^2</x:f>
        <x:v>0.3243211327107753</x:v>
      </x:c>
      <x:c r="Y219" s="8" t="n">
        <x:f>(F219-U219)^2</x:f>
        <x:v>0.614986149559723</x:v>
      </x:c>
    </x:row>
    <x:row r="220" ht="28" customHeight="1">
      <x:c r="A220" s="4" t="str">
        <x:v>UCSD-PTGBM-0164_01</x:v>
      </x:c>
      <x:c r="B220" s="4" t="str">
        <x:v>UCSD-PTGBM-0164</x:v>
      </x:c>
      <x:c r="C220" s="4" t="str">
        <x:v>BraTS-GLI-02419-100</x:v>
      </x:c>
      <x:c r="D220" s="4" t="str">
        <x:v>BraTS-GLI-02419</x:v>
      </x:c>
      <x:c r="E220" s="4" t="str">
        <x:v>dualid:UCSD-PTGBM-0164</x:v>
      </x:c>
      <x:c r="F220" s="6" t="n">
        <x:v>0</x:v>
      </x:c>
      <x:c r="G220" s="4" t="str">
        <x:v>explicit_negative_case_list</x:v>
      </x:c>
      <x:c r="H220" s="6" t="n">
        <x:v>49</x:v>
      </x:c>
      <x:c r="I220" s="6" t="n">
        <x:v>1</x:v>
      </x:c>
      <x:c r="J220" s="6" t="n">
        <x:v>0</x:v>
      </x:c>
      <x:c r="K220" s="4" t="str">
        <x:v>-22</x:v>
      </x:c>
      <x:c r="L220" s="6" t="n">
        <x:v>22</x:v>
      </x:c>
      <x:c r="M220" s="6" t="n">
        <x:v>3.1354942159</x:v>
      </x:c>
      <x:c r="N220" s="6" t="n">
        <x:v>0</x:v>
      </x:c>
      <x:c r="O220" s="4" t="str">
        <x:v>Glioblastoma</x:v>
      </x:c>
      <x:c r="P220" s="6" t="n">
        <x:v>4</x:v>
      </x:c>
      <x:c r="Q220" s="8" t="n">
        <x:v>0.7844863106</x:v>
      </x:c>
      <x:c r="R220" s="6" t="n">
        <x:f>IF(Q220&gt;=Scope!$B$9,1,0)</x:f>
        <x:v>1</x:v>
      </x:c>
      <x:c r="S220" s="8" t="n">
        <x:v>0.9069721579</x:v>
      </x:c>
      <x:c r="T220" s="6" t="n">
        <x:f>IF(S220&gt;=Scope!$B$9,1,0)</x:f>
        <x:v>1</x:v>
      </x:c>
      <x:c r="U220" s="8" t="n">
        <x:v>0.7853403141</x:v>
      </x:c>
      <x:c r="V220" s="6" t="n">
        <x:f>IF(U220&gt;=Scope!$B$9,1,0)</x:f>
        <x:v>1</x:v>
      </x:c>
      <x:c r="W220" s="8" t="n">
        <x:f>(F220-Q220)^2</x:f>
        <x:v>0.6154187715187996</x:v>
      </x:c>
      <x:c r="X220" s="8" t="n">
        <x:f>(F220-S220)^2</x:f>
        <x:v>0.8225984952057824</x:v>
      </x:c>
      <x:c r="Y220" s="8" t="n">
        <x:f>(F220-U220)^2</x:f>
        <x:v>0.6167594089506867</x:v>
      </x:c>
    </x:row>
    <x:row r="221" ht="28" customHeight="1">
      <x:c r="A221" s="4" t="str">
        <x:v>UCSD-PTGBM-0165_01</x:v>
      </x:c>
      <x:c r="B221" s="4" t="str">
        <x:v>UCSD-PTGBM-0165</x:v>
      </x:c>
      <x:c r="C221" s="4" t="str">
        <x:v>BraTS-GLI-02420-101</x:v>
      </x:c>
      <x:c r="D221" s="4" t="str">
        <x:v>BraTS-GLI-02420</x:v>
      </x:c>
      <x:c r="E221" s="4" t="str">
        <x:v>dualid:UCSD-PTGBM-0165</x:v>
      </x:c>
      <x:c r="F221" s="6" t="n">
        <x:v>0</x:v>
      </x:c>
      <x:c r="G221" s="4" t="str">
        <x:v>explicit_negative_case_list</x:v>
      </x:c>
      <x:c r="H221" s="6" t="n">
        <x:v>66</x:v>
      </x:c>
      <x:c r="I221" s="6" t="n">
        <x:v>1</x:v>
      </x:c>
      <x:c r="J221" s="6" t="n">
        <x:v>1</x:v>
      </x:c>
      <x:c r="K221" s="4" t="str">
        <x:v>-585</x:v>
      </x:c>
      <x:c r="L221" s="6" t="n">
        <x:v>585</x:v>
      </x:c>
      <x:c r="M221" s="6" t="n">
        <x:v>6.3733197896</x:v>
      </x:c>
      <x:c r="N221" s="6" t="n">
        <x:v>0</x:v>
      </x:c>
      <x:c r="O221" s="4" t="str">
        <x:v>Glioblastoma</x:v>
      </x:c>
      <x:c r="P221" s="6" t="n">
        <x:v>1</x:v>
      </x:c>
      <x:c r="Q221" s="8" t="n">
        <x:v>0.8565435895</x:v>
      </x:c>
      <x:c r="R221" s="6" t="n">
        <x:f>IF(Q221&gt;=Scope!$B$9,1,0)</x:f>
        <x:v>1</x:v>
      </x:c>
      <x:c r="S221" s="8" t="n">
        <x:v>0.8093765339</x:v>
      </x:c>
      <x:c r="T221" s="6" t="n">
        <x:f>IF(S221&gt;=Scope!$B$9,1,0)</x:f>
        <x:v>1</x:v>
      </x:c>
      <x:c r="U221" s="8" t="n">
        <x:v>0.7842105263</x:v>
      </x:c>
      <x:c r="V221" s="6" t="n">
        <x:f>IF(U221&gt;=Scope!$B$9,1,0)</x:f>
        <x:v>1</x:v>
      </x:c>
      <x:c r="W221" s="8" t="n">
        <x:f>(F221-Q221)^2</x:f>
        <x:v>0.7336669207135444</x:v>
      </x:c>
      <x:c r="X221" s="8" t="n">
        <x:f>(F221-S221)^2</x:f>
        <x:v>0.6550903736279778</x:v>
      </x:c>
      <x:c r="Y221" s="8" t="n">
        <x:f>(F221-U221)^2</x:f>
        <x:v>0.614986149559723</x:v>
      </x:c>
    </x:row>
    <x:row r="222" ht="28" customHeight="1">
      <x:c r="A222" s="4" t="str">
        <x:v>UCSD-PTGBM-0166_01</x:v>
      </x:c>
      <x:c r="B222" s="4" t="str">
        <x:v>UCSD-PTGBM-0166</x:v>
      </x:c>
      <x:c r="C222" s="4" t="str">
        <x:v>BraTS-GLI-02421-100</x:v>
      </x:c>
      <x:c r="D222" s="4" t="str">
        <x:v>BraTS-GLI-02421</x:v>
      </x:c>
      <x:c r="E222" s="4" t="str">
        <x:v>dualid:UCSD-PTGBM-0166</x:v>
      </x:c>
      <x:c r="F222" s="6" t="n">
        <x:v>1</x:v>
      </x:c>
      <x:c r="G222" s="4" t="str">
        <x:v>derived_from_published_243_equals_192_plus_51_partition</x:v>
      </x:c>
      <x:c r="H222" s="6" t="n">
        <x:v>29</x:v>
      </x:c>
      <x:c r="I222" s="6" t="n">
        <x:v>1</x:v>
      </x:c>
      <x:c r="J222" s="6" t="n">
        <x:v>1</x:v>
      </x:c>
      <x:c r="K222" s="4" t="str">
        <x:v>-468</x:v>
      </x:c>
      <x:c r="L222" s="6" t="n">
        <x:v>468</x:v>
      </x:c>
      <x:c r="M222" s="6" t="n">
        <x:v>6.1506027684</x:v>
      </x:c>
      <x:c r="N222" s="6" t="n">
        <x:v>0</x:v>
      </x:c>
      <x:c r="O222" s="4" t="str">
        <x:v>Glioblastoma</x:v>
      </x:c>
      <x:c r="P222" s="6" t="n">
        <x:v>5</x:v>
      </x:c>
      <x:c r="Q222" s="8" t="n">
        <x:v>0.6509830612</x:v>
      </x:c>
      <x:c r="R222" s="6" t="n">
        <x:f>IF(Q222&gt;=Scope!$B$9,1,0)</x:f>
        <x:v>1</x:v>
      </x:c>
      <x:c r="S222" s="8" t="n">
        <x:v>0.7180731567</x:v>
      </x:c>
      <x:c r="T222" s="6" t="n">
        <x:f>IF(S222&gt;=Scope!$B$9,1,0)</x:f>
        <x:v>1</x:v>
      </x:c>
      <x:c r="U222" s="8" t="n">
        <x:v>0.7853403141</x:v>
      </x:c>
      <x:c r="V222" s="6" t="n">
        <x:f>IF(U222&gt;=Scope!$B$9,1,0)</x:f>
        <x:v>1</x:v>
      </x:c>
      <x:c r="W222" s="8" t="n">
        <x:f>(F222-Q222)^2</x:f>
        <x:v>0.12181282356932291</x:v>
      </x:c>
      <x:c r="X222" s="8" t="n">
        <x:f>(F222-S222)^2</x:f>
        <x:v>0.07948274497310273</x:v>
      </x:c>
      <x:c r="Y222" s="8" t="n">
        <x:f>(F222-U222)^2</x:f>
        <x:v>0.04607878075068664</x:v>
      </x:c>
    </x:row>
    <x:row r="223" ht="28" customHeight="1">
      <x:c r="A223" s="4" t="str">
        <x:v>UCSD-PTGBM-0167_01</x:v>
      </x:c>
      <x:c r="B223" s="4" t="str">
        <x:v>UCSD-PTGBM-0167</x:v>
      </x:c>
      <x:c r="C223" s="4" t="str">
        <x:v>BraTS-GLI-02422-100</x:v>
      </x:c>
      <x:c r="D223" s="4" t="str">
        <x:v>BraTS-GLI-02422</x:v>
      </x:c>
      <x:c r="E223" s="4" t="str">
        <x:v>dualid:UCSD-PTGBM-0167</x:v>
      </x:c>
      <x:c r="F223" s="6" t="n">
        <x:v>0</x:v>
      </x:c>
      <x:c r="G223" s="4" t="str">
        <x:v>explicit_negative_case_list</x:v>
      </x:c>
      <x:c r="H223" s="6" t="n">
        <x:v>77</x:v>
      </x:c>
      <x:c r="I223" s="6" t="n">
        <x:v>0</x:v>
      </x:c>
      <x:c r="J223" s="6" t="n">
        <x:v>0</x:v>
      </x:c>
      <x:c r="K223" s="4" t="str">
        <x:v>Unknown</x:v>
      </x:c>
      <x:c r="L223" s="6"/>
      <x:c r="M223" s="6"/>
      <x:c r="N223" s="6" t="n">
        <x:v>1</x:v>
      </x:c>
      <x:c r="O223" s="4" t="str">
        <x:v>Glioblastoma</x:v>
      </x:c>
      <x:c r="P223" s="6" t="n">
        <x:v>2</x:v>
      </x:c>
      <x:c r="Q223" s="8" t="n">
        <x:v>0.8447258062</x:v>
      </x:c>
      <x:c r="R223" s="6" t="n">
        <x:f>IF(Q223&gt;=Scope!$B$9,1,0)</x:f>
        <x:v>1</x:v>
      </x:c>
      <x:c r="S223" s="8" t="n">
        <x:v>0.9111932454</x:v>
      </x:c>
      <x:c r="T223" s="6" t="n">
        <x:f>IF(S223&gt;=Scope!$B$9,1,0)</x:f>
        <x:v>1</x:v>
      </x:c>
      <x:c r="U223" s="8" t="n">
        <x:v>0.7883597884</x:v>
      </x:c>
      <x:c r="V223" s="6" t="n">
        <x:f>IF(U223&gt;=Scope!$B$9,1,0)</x:f>
        <x:v>1</x:v>
      </x:c>
      <x:c r="W223" s="8" t="n">
        <x:f>(F223-Q223)^2</x:f>
        <x:v>0.71356168766024</x:v>
      </x:c>
      <x:c r="X223" s="8" t="n">
        <x:f>(F223-S223)^2</x:f>
        <x:v>0.8302731304625847</x:v>
      </x:c>
      <x:c r="Y223" s="8" t="n">
        <x:f>(F223-U223)^2</x:f>
        <x:v>0.6215111559660927</x:v>
      </x:c>
    </x:row>
    <x:row r="224" ht="28" customHeight="1">
      <x:c r="A224" s="4" t="str">
        <x:v>UCSD-PTGBM-0167_02</x:v>
      </x:c>
      <x:c r="B224" s="4" t="str">
        <x:v>UCSD-PTGBM-0167</x:v>
      </x:c>
      <x:c r="C224" s="4" t="str">
        <x:v>BraTS-GLI-02422-101</x:v>
      </x:c>
      <x:c r="D224" s="4" t="str">
        <x:v>BraTS-GLI-02422</x:v>
      </x:c>
      <x:c r="E224" s="4" t="str">
        <x:v>dualid:UCSD-PTGBM-0167</x:v>
      </x:c>
      <x:c r="F224" s="6" t="n">
        <x:v>1</x:v>
      </x:c>
      <x:c r="G224" s="4" t="str">
        <x:v>derived_from_published_243_equals_192_plus_51_partition</x:v>
      </x:c>
      <x:c r="H224" s="6" t="n">
        <x:v>77</x:v>
      </x:c>
      <x:c r="I224" s="6" t="n">
        <x:v>0</x:v>
      </x:c>
      <x:c r="J224" s="6" t="n">
        <x:v>0</x:v>
      </x:c>
      <x:c r="K224" s="4" t="str">
        <x:v>Unknown</x:v>
      </x:c>
      <x:c r="L224" s="6"/>
      <x:c r="M224" s="6"/>
      <x:c r="N224" s="6" t="n">
        <x:v>1</x:v>
      </x:c>
      <x:c r="O224" s="4" t="str">
        <x:v>Glioblastoma</x:v>
      </x:c>
      <x:c r="P224" s="6" t="n">
        <x:v>2</x:v>
      </x:c>
      <x:c r="Q224" s="8" t="n">
        <x:v>0.8447258062</x:v>
      </x:c>
      <x:c r="R224" s="6" t="n">
        <x:f>IF(Q224&gt;=Scope!$B$9,1,0)</x:f>
        <x:v>1</x:v>
      </x:c>
      <x:c r="S224" s="8" t="n">
        <x:v>0.9111932454</x:v>
      </x:c>
      <x:c r="T224" s="6" t="n">
        <x:f>IF(S224&gt;=Scope!$B$9,1,0)</x:f>
        <x:v>1</x:v>
      </x:c>
      <x:c r="U224" s="8" t="n">
        <x:v>0.7883597884</x:v>
      </x:c>
      <x:c r="V224" s="6" t="n">
        <x:f>IF(U224&gt;=Scope!$B$9,1,0)</x:f>
        <x:v>1</x:v>
      </x:c>
      <x:c r="W224" s="8" t="n">
        <x:f>(F224-Q224)^2</x:f>
        <x:v>0.024110075260239946</x:v>
      </x:c>
      <x:c r="X224" s="8" t="n">
        <x:f>(F224-S224)^2</x:f>
        <x:v>0.007886639662584618</x:v>
      </x:c>
      <x:c r="Y224" s="8" t="n">
        <x:f>(F224-U224)^2</x:f>
        <x:v>0.04479157916609278</x:v>
      </x:c>
    </x:row>
    <x:row r="225" ht="28" customHeight="1">
      <x:c r="A225" s="4" t="str">
        <x:v>UCSD-PTGBM-0168_01</x:v>
      </x:c>
      <x:c r="B225" s="4" t="str">
        <x:v>UCSD-PTGBM-0168</x:v>
      </x:c>
      <x:c r="C225" s="4" t="str">
        <x:v>BraTS-GLI-02423-100</x:v>
      </x:c>
      <x:c r="D225" s="4" t="str">
        <x:v>BraTS-GLI-02423</x:v>
      </x:c>
      <x:c r="E225" s="4" t="str">
        <x:v>dualid:UCSD-PTGBM-0168</x:v>
      </x:c>
      <x:c r="F225" s="6" t="n">
        <x:v>1</x:v>
      </x:c>
      <x:c r="G225" s="4" t="str">
        <x:v>derived_from_published_243_equals_192_plus_51_partition</x:v>
      </x:c>
      <x:c r="H225" s="6" t="n">
        <x:v>45</x:v>
      </x:c>
      <x:c r="I225" s="6" t="n">
        <x:v>1</x:v>
      </x:c>
      <x:c r="J225" s="6" t="n">
        <x:v>0</x:v>
      </x:c>
      <x:c r="K225" s="4" t="str">
        <x:v>-21</x:v>
      </x:c>
      <x:c r="L225" s="6" t="n">
        <x:v>21</x:v>
      </x:c>
      <x:c r="M225" s="6" t="n">
        <x:v>3.0910424534</x:v>
      </x:c>
      <x:c r="N225" s="6" t="n">
        <x:v>0</x:v>
      </x:c>
      <x:c r="O225" s="4" t="str">
        <x:v>Glioblastoma</x:v>
      </x:c>
      <x:c r="P225" s="6" t="n">
        <x:v>3</x:v>
      </x:c>
      <x:c r="Q225" s="8" t="n">
        <x:v>0.7598383765</x:v>
      </x:c>
      <x:c r="R225" s="6" t="n">
        <x:f>IF(Q225&gt;=Scope!$B$9,1,0)</x:f>
        <x:v>1</x:v>
      </x:c>
      <x:c r="S225" s="8" t="n">
        <x:v>0.8761667785</x:v>
      </x:c>
      <x:c r="T225" s="6" t="n">
        <x:f>IF(S225&gt;=Scope!$B$9,1,0)</x:f>
        <x:v>1</x:v>
      </x:c>
      <x:c r="U225" s="8" t="n">
        <x:v>0.7853403141</x:v>
      </x:c>
      <x:c r="V225" s="6" t="n">
        <x:f>IF(U225&gt;=Scope!$B$9,1,0)</x:f>
        <x:v>1</x:v>
      </x:c>
      <x:c r="W225" s="8" t="n">
        <x:f>(F225-Q225)^2</x:f>
        <x:v>0.05767760540215577</x:v>
      </x:c>
      <x:c r="X225" s="8" t="n">
        <x:f>(F225-S225)^2</x:f>
        <x:v>0.015334666747068057</x:v>
      </x:c>
      <x:c r="Y225" s="8" t="n">
        <x:f>(F225-U225)^2</x:f>
        <x:v>0.04607878075068664</x:v>
      </x:c>
    </x:row>
    <x:row r="226" ht="28" customHeight="1">
      <x:c r="A226" s="4" t="str">
        <x:v>UCSD-PTGBM-0169_01</x:v>
      </x:c>
      <x:c r="B226" s="4" t="str">
        <x:v>UCSD-PTGBM-0169</x:v>
      </x:c>
      <x:c r="C226" s="4" t="str">
        <x:v>BraTS-GLI-02424-100</x:v>
      </x:c>
      <x:c r="D226" s="4" t="str">
        <x:v>BraTS-GLI-02424</x:v>
      </x:c>
      <x:c r="E226" s="4" t="str">
        <x:v>dualid:UCSD-PTGBM-0169</x:v>
      </x:c>
      <x:c r="F226" s="6" t="n">
        <x:v>1</x:v>
      </x:c>
      <x:c r="G226" s="4" t="str">
        <x:v>derived_from_published_243_equals_192_plus_51_partition</x:v>
      </x:c>
      <x:c r="H226" s="6" t="n">
        <x:v>58</x:v>
      </x:c>
      <x:c r="I226" s="6" t="n">
        <x:v>0</x:v>
      </x:c>
      <x:c r="J226" s="6" t="n">
        <x:v>0</x:v>
      </x:c>
      <x:c r="K226" s="4" t="str">
        <x:v>Unknown</x:v>
      </x:c>
      <x:c r="L226" s="6"/>
      <x:c r="M226" s="6"/>
      <x:c r="N226" s="6" t="n">
        <x:v>1</x:v>
      </x:c>
      <x:c r="O226" s="4" t="str">
        <x:v>Glioblastoma</x:v>
      </x:c>
      <x:c r="P226" s="6" t="n">
        <x:v>5</x:v>
      </x:c>
      <x:c r="Q226" s="8" t="n">
        <x:v>0.761064987</x:v>
      </x:c>
      <x:c r="R226" s="6" t="n">
        <x:f>IF(Q226&gt;=Scope!$B$9,1,0)</x:f>
        <x:v>1</x:v>
      </x:c>
      <x:c r="S226" s="8" t="n">
        <x:v>0.8500368229</x:v>
      </x:c>
      <x:c r="T226" s="6" t="n">
        <x:f>IF(S226&gt;=Scope!$B$9,1,0)</x:f>
        <x:v>1</x:v>
      </x:c>
      <x:c r="U226" s="8" t="n">
        <x:v>0.7853403141</x:v>
      </x:c>
      <x:c r="V226" s="6" t="n">
        <x:f>IF(U226&gt;=Scope!$B$9,1,0)</x:f>
        <x:v>1</x:v>
      </x:c>
      <x:c r="W226" s="8" t="n">
        <x:f>(F226-Q226)^2</x:f>
        <x:v>0.05708994043731016</x:v>
      </x:c>
      <x:c r="X226" s="8" t="n">
        <x:f>(F226-S226)^2</x:f>
        <x:v>0.02248895448592595</x:v>
      </x:c>
      <x:c r="Y226" s="8" t="n">
        <x:f>(F226-U226)^2</x:f>
        <x:v>0.04607878075068664</x:v>
      </x:c>
    </x:row>
    <x:row r="227" ht="28" customHeight="1">
      <x:c r="A227" s="4" t="str">
        <x:v>UCSD-PTGBM-0170_01</x:v>
      </x:c>
      <x:c r="B227" s="4" t="str">
        <x:v>UCSD-PTGBM-0170</x:v>
      </x:c>
      <x:c r="C227" s="4" t="str">
        <x:v>BraTS-GLI-02425-100</x:v>
      </x:c>
      <x:c r="D227" s="4" t="str">
        <x:v>BraTS-GLI-02425</x:v>
      </x:c>
      <x:c r="E227" s="4" t="str">
        <x:v>dualid:UCSD-PTGBM-0170</x:v>
      </x:c>
      <x:c r="F227" s="6" t="n">
        <x:v>1</x:v>
      </x:c>
      <x:c r="G227" s="4" t="str">
        <x:v>derived_from_published_243_equals_192_plus_51_partition</x:v>
      </x:c>
      <x:c r="H227" s="6" t="n">
        <x:v>56</x:v>
      </x:c>
      <x:c r="I227" s="6" t="n">
        <x:v>0</x:v>
      </x:c>
      <x:c r="J227" s="6" t="n">
        <x:v>0</x:v>
      </x:c>
      <x:c r="K227" s="4" t="str">
        <x:v>-50</x:v>
      </x:c>
      <x:c r="L227" s="6" t="n">
        <x:v>50</x:v>
      </x:c>
      <x:c r="M227" s="6" t="n">
        <x:v>3.9318256327</x:v>
      </x:c>
      <x:c r="N227" s="6" t="n">
        <x:v>0</x:v>
      </x:c>
      <x:c r="O227" s="4" t="str">
        <x:v>Glioblastoma</x:v>
      </x:c>
      <x:c r="P227" s="6" t="n">
        <x:v>4</x:v>
      </x:c>
      <x:c r="Q227" s="8" t="n">
        <x:v>0.7253668216</x:v>
      </x:c>
      <x:c r="R227" s="6" t="n">
        <x:f>IF(Q227&gt;=Scope!$B$9,1,0)</x:f>
        <x:v>1</x:v>
      </x:c>
      <x:c r="S227" s="8" t="n">
        <x:v>0.835039118</x:v>
      </x:c>
      <x:c r="T227" s="6" t="n">
        <x:f>IF(S227&gt;=Scope!$B$9,1,0)</x:f>
        <x:v>1</x:v>
      </x:c>
      <x:c r="U227" s="8" t="n">
        <x:v>0.7853403141</x:v>
      </x:c>
      <x:c r="V227" s="6" t="n">
        <x:f>IF(U227&gt;=Scope!$B$9,1,0)</x:f>
        <x:v>1</x:v>
      </x:c>
      <x:c r="W227" s="8" t="n">
        <x:f>(F227-Q227)^2</x:f>
        <x:v>0.07542338267808624</x:v>
      </x:c>
      <x:c r="X227" s="8" t="n">
        <x:f>(F227-S227)^2</x:f>
        <x:v>0.027212092590217934</x:v>
      </x:c>
      <x:c r="Y227" s="8" t="n">
        <x:f>(F227-U227)^2</x:f>
        <x:v>0.04607878075068664</x:v>
      </x:c>
    </x:row>
    <x:row r="228" ht="28" customHeight="1">
      <x:c r="A228" s="4" t="str">
        <x:v>UCSD-PTGBM-0171_01</x:v>
      </x:c>
      <x:c r="B228" s="4" t="str">
        <x:v>UCSD-PTGBM-0171</x:v>
      </x:c>
      <x:c r="C228" s="4" t="str">
        <x:v>BraTS-GLI-02426-100</x:v>
      </x:c>
      <x:c r="D228" s="4" t="str">
        <x:v>BraTS-GLI-02426</x:v>
      </x:c>
      <x:c r="E228" s="4" t="str">
        <x:v>dualid:UCSD-PTGBM-0171</x:v>
      </x:c>
      <x:c r="F228" s="6" t="n">
        <x:v>1</x:v>
      </x:c>
      <x:c r="G228" s="4" t="str">
        <x:v>derived_from_published_243_equals_192_plus_51_partition</x:v>
      </x:c>
      <x:c r="H228" s="6" t="n">
        <x:v>65</x:v>
      </x:c>
      <x:c r="I228" s="6" t="n">
        <x:v>1</x:v>
      </x:c>
      <x:c r="J228" s="6" t="n">
        <x:v>0</x:v>
      </x:c>
      <x:c r="K228" s="4" t="str">
        <x:v>Unknown</x:v>
      </x:c>
      <x:c r="L228" s="6"/>
      <x:c r="M228" s="6"/>
      <x:c r="N228" s="6" t="n">
        <x:v>1</x:v>
      </x:c>
      <x:c r="O228" s="4" t="str">
        <x:v>Glioblastoma</x:v>
      </x:c>
      <x:c r="P228" s="6" t="n">
        <x:v>5</x:v>
      </x:c>
      <x:c r="Q228" s="8" t="n">
        <x:v>0.8559601862</x:v>
      </x:c>
      <x:c r="R228" s="6" t="n">
        <x:f>IF(Q228&gt;=Scope!$B$9,1,0)</x:f>
        <x:v>1</x:v>
      </x:c>
      <x:c r="S228" s="8" t="n">
        <x:v>0.8875315395</x:v>
      </x:c>
      <x:c r="T228" s="6" t="n">
        <x:f>IF(S228&gt;=Scope!$B$9,1,0)</x:f>
        <x:v>1</x:v>
      </x:c>
      <x:c r="U228" s="8" t="n">
        <x:v>0.7853403141</x:v>
      </x:c>
      <x:c r="V228" s="6" t="n">
        <x:f>IF(U228&gt;=Scope!$B$9,1,0)</x:f>
        <x:v>1</x:v>
      </x:c>
      <x:c r="W228" s="8" t="n">
        <x:f>(F228-Q228)^2</x:f>
        <x:v>0.020747467959538662</x:v>
      </x:c>
      <x:c r="X228" s="8" t="n">
        <x:f>(F228-S228)^2</x:f>
        <x:v>0.012649154607240068</x:v>
      </x:c>
      <x:c r="Y228" s="8" t="n">
        <x:f>(F228-U228)^2</x:f>
        <x:v>0.04607878075068664</x:v>
      </x:c>
    </x:row>
    <x:row r="229" ht="28" customHeight="1">
      <x:c r="A229" s="4" t="str">
        <x:v>UCSD-PTGBM-0172_01</x:v>
      </x:c>
      <x:c r="B229" s="4" t="str">
        <x:v>UCSD-PTGBM-0172</x:v>
      </x:c>
      <x:c r="C229" s="4" t="str">
        <x:v>BraTS-GLI-02427-100</x:v>
      </x:c>
      <x:c r="D229" s="4" t="str">
        <x:v>BraTS-GLI-02427</x:v>
      </x:c>
      <x:c r="E229" s="4" t="str">
        <x:v>dualid:UCSD-PTGBM-0172</x:v>
      </x:c>
      <x:c r="F229" s="6" t="n">
        <x:v>0</x:v>
      </x:c>
      <x:c r="G229" s="4" t="str">
        <x:v>explicit_negative_case_list</x:v>
      </x:c>
      <x:c r="H229" s="6" t="n">
        <x:v>64</x:v>
      </x:c>
      <x:c r="I229" s="6" t="n">
        <x:v>1</x:v>
      </x:c>
      <x:c r="J229" s="6" t="n">
        <x:v>0</x:v>
      </x:c>
      <x:c r="K229" s="4" t="str">
        <x:v>-218</x:v>
      </x:c>
      <x:c r="L229" s="6" t="n">
        <x:v>218</x:v>
      </x:c>
      <x:c r="M229" s="6" t="n">
        <x:v>5.3890717298</x:v>
      </x:c>
      <x:c r="N229" s="6" t="n">
        <x:v>0</x:v>
      </x:c>
      <x:c r="O229" s="4" t="str">
        <x:v>Glioblastoma</x:v>
      </x:c>
      <x:c r="P229" s="6" t="n">
        <x:v>2</x:v>
      </x:c>
      <x:c r="Q229" s="8" t="n">
        <x:v>0.8434685415</x:v>
      </x:c>
      <x:c r="R229" s="6" t="n">
        <x:f>IF(Q229&gt;=Scope!$B$9,1,0)</x:f>
        <x:v>1</x:v>
      </x:c>
      <x:c r="S229" s="8" t="n">
        <x:v>0.7659192537</x:v>
      </x:c>
      <x:c r="T229" s="6" t="n">
        <x:f>IF(S229&gt;=Scope!$B$9,1,0)</x:f>
        <x:v>1</x:v>
      </x:c>
      <x:c r="U229" s="8" t="n">
        <x:v>0.7883597884</x:v>
      </x:c>
      <x:c r="V229" s="6" t="n">
        <x:f>IF(U229&gt;=Scope!$B$9,1,0)</x:f>
        <x:v>1</x:v>
      </x:c>
      <x:c r="W229" s="8" t="n">
        <x:f>(F229-Q229)^2</x:f>
        <x:v>0.7114391805001371</x:v>
      </x:c>
      <x:c r="X229" s="8" t="n">
        <x:f>(F229-S229)^2</x:f>
        <x:v>0.586632303188365</x:v>
      </x:c>
      <x:c r="Y229" s="8" t="n">
        <x:f>(F229-U229)^2</x:f>
        <x:v>0.6215111559660927</x:v>
      </x:c>
    </x:row>
    <x:row r="230" ht="28" customHeight="1">
      <x:c r="A230" s="4" t="str">
        <x:v>UCSD-PTGBM-0172_02</x:v>
      </x:c>
      <x:c r="B230" s="4" t="str">
        <x:v>UCSD-PTGBM-0172</x:v>
      </x:c>
      <x:c r="C230" s="4" t="str">
        <x:v>BraTS-GLI-02427-101</x:v>
      </x:c>
      <x:c r="D230" s="4" t="str">
        <x:v>BraTS-GLI-02427</x:v>
      </x:c>
      <x:c r="E230" s="4" t="str">
        <x:v>dualid:UCSD-PTGBM-0172</x:v>
      </x:c>
      <x:c r="F230" s="6" t="n">
        <x:v>0</x:v>
      </x:c>
      <x:c r="G230" s="4" t="str">
        <x:v>explicit_negative_case_list</x:v>
      </x:c>
      <x:c r="H230" s="6" t="n">
        <x:v>64</x:v>
      </x:c>
      <x:c r="I230" s="6" t="n">
        <x:v>1</x:v>
      </x:c>
      <x:c r="J230" s="6" t="n">
        <x:v>0</x:v>
      </x:c>
      <x:c r="K230" s="4" t="str">
        <x:v>-408</x:v>
      </x:c>
      <x:c r="L230" s="6" t="n">
        <x:v>408</x:v>
      </x:c>
      <x:c r="M230" s="6" t="n">
        <x:v>6.013715156</x:v>
      </x:c>
      <x:c r="N230" s="6" t="n">
        <x:v>0</x:v>
      </x:c>
      <x:c r="O230" s="4" t="str">
        <x:v>Glioblastoma</x:v>
      </x:c>
      <x:c r="P230" s="6" t="n">
        <x:v>2</x:v>
      </x:c>
      <x:c r="Q230" s="8" t="n">
        <x:v>0.8434685415</x:v>
      </x:c>
      <x:c r="R230" s="6" t="n">
        <x:f>IF(Q230&gt;=Scope!$B$9,1,0)</x:f>
        <x:v>1</x:v>
      </x:c>
      <x:c r="S230" s="8" t="n">
        <x:v>0.7208381716</x:v>
      </x:c>
      <x:c r="T230" s="6" t="n">
        <x:f>IF(S230&gt;=Scope!$B$9,1,0)</x:f>
        <x:v>1</x:v>
      </x:c>
      <x:c r="U230" s="8" t="n">
        <x:v>0.7883597884</x:v>
      </x:c>
      <x:c r="V230" s="6" t="n">
        <x:f>IF(U230&gt;=Scope!$B$9,1,0)</x:f>
        <x:v>1</x:v>
      </x:c>
      <x:c r="W230" s="8" t="n">
        <x:f>(F230-Q230)^2</x:f>
        <x:v>0.7114391805001371</x:v>
      </x:c>
      <x:c r="X230" s="8" t="n">
        <x:f>(F230-S230)^2</x:f>
        <x:v>0.519607669635631</x:v>
      </x:c>
      <x:c r="Y230" s="8" t="n">
        <x:f>(F230-U230)^2</x:f>
        <x:v>0.6215111559660927</x:v>
      </x:c>
    </x:row>
    <x:row r="231" ht="28" customHeight="1">
      <x:c r="A231" s="4" t="str">
        <x:v>UCSD-PTGBM-0173_01</x:v>
      </x:c>
      <x:c r="B231" s="4" t="str">
        <x:v>UCSD-PTGBM-0173</x:v>
      </x:c>
      <x:c r="C231" s="4" t="str">
        <x:v>BraTS-GLI-02428-100</x:v>
      </x:c>
      <x:c r="D231" s="4" t="str">
        <x:v>BraTS-GLI-02428</x:v>
      </x:c>
      <x:c r="E231" s="4" t="str">
        <x:v>dualid:UCSD-PTGBM-0173</x:v>
      </x:c>
      <x:c r="F231" s="6" t="n">
        <x:v>1</x:v>
      </x:c>
      <x:c r="G231" s="4" t="str">
        <x:v>derived_from_published_243_equals_192_plus_51_partition</x:v>
      </x:c>
      <x:c r="H231" s="6" t="n">
        <x:v>69</x:v>
      </x:c>
      <x:c r="I231" s="6" t="n">
        <x:v>1</x:v>
      </x:c>
      <x:c r="J231" s="6" t="n">
        <x:v>0</x:v>
      </x:c>
      <x:c r="K231" s="4" t="str">
        <x:v>-100</x:v>
      </x:c>
      <x:c r="L231" s="6" t="n">
        <x:v>100</x:v>
      </x:c>
      <x:c r="M231" s="6" t="n">
        <x:v>4.6151205168</x:v>
      </x:c>
      <x:c r="N231" s="6" t="n">
        <x:v>0</x:v>
      </x:c>
      <x:c r="O231" s="4" t="str">
        <x:v>Glioblastoma</x:v>
      </x:c>
      <x:c r="P231" s="6" t="n">
        <x:v>3</x:v>
      </x:c>
      <x:c r="Q231" s="8" t="n">
        <x:v>0.8584090211</x:v>
      </x:c>
      <x:c r="R231" s="6" t="n">
        <x:f>IF(Q231&gt;=Scope!$B$9,1,0)</x:f>
        <x:v>1</x:v>
      </x:c>
      <x:c r="S231" s="8" t="n">
        <x:v>0.8194779991</x:v>
      </x:c>
      <x:c r="T231" s="6" t="n">
        <x:f>IF(S231&gt;=Scope!$B$9,1,0)</x:f>
        <x:v>1</x:v>
      </x:c>
      <x:c r="U231" s="8" t="n">
        <x:v>0.7853403141</x:v>
      </x:c>
      <x:c r="V231" s="6" t="n">
        <x:f>IF(U231&gt;=Scope!$B$9,1,0)</x:f>
        <x:v>1</x:v>
      </x:c>
      <x:c r="W231" s="8" t="n">
        <x:f>(F231-Q231)^2</x:f>
        <x:v>0.02004800530586026</x:v>
      </x:c>
      <x:c r="X231" s="8" t="n">
        <x:f>(F231-S231)^2</x:f>
        <x:v>0.03258819280893961</x:v>
      </x:c>
      <x:c r="Y231" s="8" t="n">
        <x:f>(F231-U231)^2</x:f>
        <x:v>0.04607878075068664</x:v>
      </x:c>
    </x:row>
    <x:row r="232" ht="28" customHeight="1">
      <x:c r="A232" s="4" t="str">
        <x:v>UCSD-PTGBM-0174_01</x:v>
      </x:c>
      <x:c r="B232" s="4" t="str">
        <x:v>UCSD-PTGBM-0174</x:v>
      </x:c>
      <x:c r="C232" s="4" t="str">
        <x:v>BraTS-GLI-02429-100</x:v>
      </x:c>
      <x:c r="D232" s="4" t="str">
        <x:v>BraTS-GLI-02429</x:v>
      </x:c>
      <x:c r="E232" s="4" t="str">
        <x:v>dualid:UCSD-PTGBM-0174</x:v>
      </x:c>
      <x:c r="F232" s="6" t="n">
        <x:v>0</x:v>
      </x:c>
      <x:c r="G232" s="4" t="str">
        <x:v>explicit_negative_case_list</x:v>
      </x:c>
      <x:c r="H232" s="6" t="n">
        <x:v>57</x:v>
      </x:c>
      <x:c r="I232" s="6" t="n">
        <x:v>1</x:v>
      </x:c>
      <x:c r="J232" s="6" t="n">
        <x:v>0</x:v>
      </x:c>
      <x:c r="K232" s="4" t="str">
        <x:v>-137</x:v>
      </x:c>
      <x:c r="L232" s="6" t="n">
        <x:v>137</x:v>
      </x:c>
      <x:c r="M232" s="6" t="n">
        <x:v>4.9272536852</x:v>
      </x:c>
      <x:c r="N232" s="6" t="n">
        <x:v>0</x:v>
      </x:c>
      <x:c r="O232" s="4" t="str">
        <x:v>Glioblastoma</x:v>
      </x:c>
      <x:c r="P232" s="6" t="n">
        <x:v>1</x:v>
      </x:c>
      <x:c r="Q232" s="8" t="n">
        <x:v>0.8252139675</x:v>
      </x:c>
      <x:c r="R232" s="6" t="n">
        <x:f>IF(Q232&gt;=Scope!$B$9,1,0)</x:f>
        <x:v>1</x:v>
      </x:c>
      <x:c r="S232" s="8" t="n">
        <x:v>0.7829680991</x:v>
      </x:c>
      <x:c r="T232" s="6" t="n">
        <x:f>IF(S232&gt;=Scope!$B$9,1,0)</x:f>
        <x:v>1</x:v>
      </x:c>
      <x:c r="U232" s="8" t="n">
        <x:v>0.7842105263</x:v>
      </x:c>
      <x:c r="V232" s="6" t="n">
        <x:f>IF(U232&gt;=Scope!$B$9,1,0)</x:f>
        <x:v>1</x:v>
      </x:c>
      <x:c r="W232" s="8" t="n">
        <x:f>(F232-Q232)^2</x:f>
        <x:v>0.680978092157091</x:v>
      </x:c>
      <x:c r="X232" s="8" t="n">
        <x:f>(F232-S232)^2</x:f>
        <x:v>0.6130390442082674</x:v>
      </x:c>
      <x:c r="Y232" s="8" t="n">
        <x:f>(F232-U232)^2</x:f>
        <x:v>0.614986149559723</x:v>
      </x:c>
    </x:row>
    <x:row r="233" ht="28" customHeight="1">
      <x:c r="A233" s="4" t="str">
        <x:v>UCSD-PTGBM-0174_02</x:v>
      </x:c>
      <x:c r="B233" s="4" t="str">
        <x:v>UCSD-PTGBM-0174</x:v>
      </x:c>
      <x:c r="C233" s="4" t="str">
        <x:v>BraTS-GLI-02429-101</x:v>
      </x:c>
      <x:c r="D233" s="4" t="str">
        <x:v>BraTS-GLI-02429</x:v>
      </x:c>
      <x:c r="E233" s="4" t="str">
        <x:v>dualid:UCSD-PTGBM-0174</x:v>
      </x:c>
      <x:c r="F233" s="6" t="n">
        <x:v>0</x:v>
      </x:c>
      <x:c r="G233" s="4" t="str">
        <x:v>explicit_negative_case_list</x:v>
      </x:c>
      <x:c r="H233" s="6" t="n">
        <x:v>57</x:v>
      </x:c>
      <x:c r="I233" s="6" t="n">
        <x:v>1</x:v>
      </x:c>
      <x:c r="J233" s="6" t="n">
        <x:v>0</x:v>
      </x:c>
      <x:c r="K233" s="4" t="str">
        <x:v>-280</x:v>
      </x:c>
      <x:c r="L233" s="6" t="n">
        <x:v>280</x:v>
      </x:c>
      <x:c r="M233" s="6" t="n">
        <x:v>5.6383546693</x:v>
      </x:c>
      <x:c r="N233" s="6" t="n">
        <x:v>0</x:v>
      </x:c>
      <x:c r="O233" s="4" t="str">
        <x:v>Glioblastoma</x:v>
      </x:c>
      <x:c r="P233" s="6" t="n">
        <x:v>1</x:v>
      </x:c>
      <x:c r="Q233" s="8" t="n">
        <x:v>0.8252139675</x:v>
      </x:c>
      <x:c r="R233" s="6" t="n">
        <x:f>IF(Q233&gt;=Scope!$B$9,1,0)</x:f>
        <x:v>1</x:v>
      </x:c>
      <x:c r="S233" s="8" t="n">
        <x:v>0.7313974357</x:v>
      </x:c>
      <x:c r="T233" s="6" t="n">
        <x:f>IF(S233&gt;=Scope!$B$9,1,0)</x:f>
        <x:v>1</x:v>
      </x:c>
      <x:c r="U233" s="8" t="n">
        <x:v>0.7842105263</x:v>
      </x:c>
      <x:c r="V233" s="6" t="n">
        <x:f>IF(U233&gt;=Scope!$B$9,1,0)</x:f>
        <x:v>1</x:v>
      </x:c>
      <x:c r="W233" s="8" t="n">
        <x:f>(F233-Q233)^2</x:f>
        <x:v>0.680978092157091</x:v>
      </x:c>
      <x:c r="X233" s="8" t="n">
        <x:f>(F233-S233)^2</x:f>
        <x:v>0.5349422089485357</x:v>
      </x:c>
      <x:c r="Y233" s="8" t="n">
        <x:f>(F233-U233)^2</x:f>
        <x:v>0.614986149559723</x:v>
      </x:c>
    </x:row>
    <x:row r="234" ht="28" customHeight="1">
      <x:c r="A234" s="4" t="str">
        <x:v>UCSD-PTGBM-0175_01</x:v>
      </x:c>
      <x:c r="B234" s="4" t="str">
        <x:v>UCSD-PTGBM-0175</x:v>
      </x:c>
      <x:c r="C234" s="4" t="str">
        <x:v>BraTS-GLI-02430-100</x:v>
      </x:c>
      <x:c r="D234" s="4" t="str">
        <x:v>BraTS-GLI-02430</x:v>
      </x:c>
      <x:c r="E234" s="4" t="str">
        <x:v>dualid:UCSD-PTGBM-0175</x:v>
      </x:c>
      <x:c r="F234" s="6" t="n">
        <x:v>1</x:v>
      </x:c>
      <x:c r="G234" s="4" t="str">
        <x:v>derived_from_published_243_equals_192_plus_51_partition</x:v>
      </x:c>
      <x:c r="H234" s="6" t="n">
        <x:v>40</x:v>
      </x:c>
      <x:c r="I234" s="6" t="n">
        <x:v>1</x:v>
      </x:c>
      <x:c r="J234" s="6" t="n">
        <x:v>0</x:v>
      </x:c>
      <x:c r="K234" s="4" t="str">
        <x:v>-209</x:v>
      </x:c>
      <x:c r="L234" s="6" t="n">
        <x:v>209</x:v>
      </x:c>
      <x:c r="M234" s="6" t="n">
        <x:v>5.3471075307</x:v>
      </x:c>
      <x:c r="N234" s="6" t="n">
        <x:v>0</x:v>
      </x:c>
      <x:c r="O234" s="4" t="str">
        <x:v>Glioblastoma</x:v>
      </x:c>
      <x:c r="P234" s="6" t="n">
        <x:v>5</x:v>
      </x:c>
      <x:c r="Q234" s="8" t="n">
        <x:v>0.7265983854</x:v>
      </x:c>
      <x:c r="R234" s="6" t="n">
        <x:f>IF(Q234&gt;=Scope!$B$9,1,0)</x:f>
        <x:v>1</x:v>
      </x:c>
      <x:c r="S234" s="8" t="n">
        <x:v>0.6762965023</x:v>
      </x:c>
      <x:c r="T234" s="6" t="n">
        <x:f>IF(S234&gt;=Scope!$B$9,1,0)</x:f>
        <x:v>1</x:v>
      </x:c>
      <x:c r="U234" s="8" t="n">
        <x:v>0.7853403141</x:v>
      </x:c>
      <x:c r="V234" s="6" t="n">
        <x:f>IF(U234&gt;=Scope!$B$9,1,0)</x:f>
        <x:v>1</x:v>
      </x:c>
      <x:c r="W234" s="8" t="n">
        <x:f>(F234-Q234)^2</x:f>
        <x:v>0.07474844286588694</x:v>
      </x:c>
      <x:c r="X234" s="8" t="n">
        <x:f>(F234-S234)^2</x:f>
        <x:v>0.10478395442321388</x:v>
      </x:c>
      <x:c r="Y234" s="8" t="n">
        <x:f>(F234-U234)^2</x:f>
        <x:v>0.04607878075068664</x:v>
      </x:c>
    </x:row>
    <x:row r="235" ht="28" customHeight="1">
      <x:c r="A235" s="4" t="str">
        <x:v>UCSD-PTGBM-0176_01</x:v>
      </x:c>
      <x:c r="B235" s="4" t="str">
        <x:v>UCSD-PTGBM-0176</x:v>
      </x:c>
      <x:c r="C235" s="4" t="str">
        <x:v>BraTS-GLI-02431-100</x:v>
      </x:c>
      <x:c r="D235" s="4" t="str">
        <x:v>BraTS-GLI-02431</x:v>
      </x:c>
      <x:c r="E235" s="4" t="str">
        <x:v>dualid:UCSD-PTGBM-0176</x:v>
      </x:c>
      <x:c r="F235" s="6" t="n">
        <x:v>1</x:v>
      </x:c>
      <x:c r="G235" s="4" t="str">
        <x:v>derived_from_published_243_equals_192_plus_51_partition</x:v>
      </x:c>
      <x:c r="H235" s="6" t="n">
        <x:v>70</x:v>
      </x:c>
      <x:c r="I235" s="6" t="n">
        <x:v>1</x:v>
      </x:c>
      <x:c r="J235" s="6" t="n">
        <x:v>0</x:v>
      </x:c>
      <x:c r="K235" s="4" t="str">
        <x:v>-127</x:v>
      </x:c>
      <x:c r="L235" s="6" t="n">
        <x:v>127</x:v>
      </x:c>
      <x:c r="M235" s="6" t="n">
        <x:v>4.8520302639</x:v>
      </x:c>
      <x:c r="N235" s="6" t="n">
        <x:v>0</x:v>
      </x:c>
      <x:c r="O235" s="4" t="str">
        <x:v>Glioblastoma</x:v>
      </x:c>
      <x:c r="P235" s="6" t="n">
        <x:v>4</x:v>
      </x:c>
      <x:c r="Q235" s="8" t="n">
        <x:v>0.8803007036</x:v>
      </x:c>
      <x:c r="R235" s="6" t="n">
        <x:f>IF(Q235&gt;=Scope!$B$9,1,0)</x:f>
        <x:v>1</x:v>
      </x:c>
      <x:c r="S235" s="8" t="n">
        <x:v>0.846378939</x:v>
      </x:c>
      <x:c r="T235" s="6" t="n">
        <x:f>IF(S235&gt;=Scope!$B$9,1,0)</x:f>
        <x:v>1</x:v>
      </x:c>
      <x:c r="U235" s="8" t="n">
        <x:v>0.7853403141</x:v>
      </x:c>
      <x:c r="V235" s="6" t="n">
        <x:f>IF(U235&gt;=Scope!$B$9,1,0)</x:f>
        <x:v>1</x:v>
      </x:c>
      <x:c r="W235" s="8" t="n">
        <x:f>(F235-Q235)^2</x:f>
        <x:v>0.01432792155865505</x:v>
      </x:c>
      <x:c r="X235" s="8" t="n">
        <x:f>(F235-S235)^2</x:f>
        <x:v>0.023599430382765706</x:v>
      </x:c>
      <x:c r="Y235" s="8" t="n">
        <x:f>(F235-U235)^2</x:f>
        <x:v>0.04607878075068664</x:v>
      </x:c>
    </x:row>
    <x:row r="236" ht="28" customHeight="1">
      <x:c r="A236" s="4" t="str">
        <x:v>UCSD-PTGBM-0176_02</x:v>
      </x:c>
      <x:c r="B236" s="4" t="str">
        <x:v>UCSD-PTGBM-0176</x:v>
      </x:c>
      <x:c r="C236" s="4" t="str">
        <x:v>BraTS-GLI-02431-101</x:v>
      </x:c>
      <x:c r="D236" s="4" t="str">
        <x:v>BraTS-GLI-02431</x:v>
      </x:c>
      <x:c r="E236" s="4" t="str">
        <x:v>dualid:UCSD-PTGBM-0176</x:v>
      </x:c>
      <x:c r="F236" s="6" t="n">
        <x:v>1</x:v>
      </x:c>
      <x:c r="G236" s="4" t="str">
        <x:v>derived_from_published_243_equals_192_plus_51_partition</x:v>
      </x:c>
      <x:c r="H236" s="6" t="n">
        <x:v>70</x:v>
      </x:c>
      <x:c r="I236" s="6" t="n">
        <x:v>1</x:v>
      </x:c>
      <x:c r="J236" s="6" t="n">
        <x:v>0</x:v>
      </x:c>
      <x:c r="K236" s="4" t="str">
        <x:v>-185</x:v>
      </x:c>
      <x:c r="L236" s="6" t="n">
        <x:v>185</x:v>
      </x:c>
      <x:c r="M236" s="6" t="n">
        <x:v>5.2257466737</x:v>
      </x:c>
      <x:c r="N236" s="6" t="n">
        <x:v>0</x:v>
      </x:c>
      <x:c r="O236" s="4" t="str">
        <x:v>Glioblastoma</x:v>
      </x:c>
      <x:c r="P236" s="6" t="n">
        <x:v>4</x:v>
      </x:c>
      <x:c r="Q236" s="8" t="n">
        <x:v>0.8803007036</x:v>
      </x:c>
      <x:c r="R236" s="6" t="n">
        <x:f>IF(Q236&gt;=Scope!$B$9,1,0)</x:f>
        <x:v>1</x:v>
      </x:c>
      <x:c r="S236" s="8" t="n">
        <x:v>0.8152829304</x:v>
      </x:c>
      <x:c r="T236" s="6" t="n">
        <x:f>IF(S236&gt;=Scope!$B$9,1,0)</x:f>
        <x:v>1</x:v>
      </x:c>
      <x:c r="U236" s="8" t="n">
        <x:v>0.7853403141</x:v>
      </x:c>
      <x:c r="V236" s="6" t="n">
        <x:f>IF(U236&gt;=Scope!$B$9,1,0)</x:f>
        <x:v>1</x:v>
      </x:c>
      <x:c r="W236" s="8" t="n">
        <x:f>(F236-Q236)^2</x:f>
        <x:v>0.01432792155865505</x:v>
      </x:c>
      <x:c r="X236" s="8" t="n">
        <x:f>(F236-S236)^2</x:f>
        <x:v>0.03412039580161125</x:v>
      </x:c>
      <x:c r="Y236" s="8" t="n">
        <x:f>(F236-U236)^2</x:f>
        <x:v>0.04607878075068664</x:v>
      </x:c>
    </x:row>
    <x:row r="237" ht="28" customHeight="1">
      <x:c r="A237" s="4" t="str">
        <x:v>UCSD-PTGBM-0177_01</x:v>
      </x:c>
      <x:c r="B237" s="4" t="str">
        <x:v>UCSD-PTGBM-0177</x:v>
      </x:c>
      <x:c r="C237" s="4" t="str">
        <x:v>BraTS-GLI-02432-100</x:v>
      </x:c>
      <x:c r="D237" s="4" t="str">
        <x:v>BraTS-GLI-02432</x:v>
      </x:c>
      <x:c r="E237" s="4" t="str">
        <x:v>dualid:UCSD-PTGBM-0177</x:v>
      </x:c>
      <x:c r="F237" s="6" t="n">
        <x:v>1</x:v>
      </x:c>
      <x:c r="G237" s="4" t="str">
        <x:v>derived_from_published_243_equals_192_plus_51_partition</x:v>
      </x:c>
      <x:c r="H237" s="6" t="n">
        <x:v>47</x:v>
      </x:c>
      <x:c r="I237" s="6" t="n">
        <x:v>1</x:v>
      </x:c>
      <x:c r="J237" s="6" t="n">
        <x:v>0</x:v>
      </x:c>
      <x:c r="K237" s="4" t="str">
        <x:v>-260</x:v>
      </x:c>
      <x:c r="L237" s="6" t="n">
        <x:v>260</x:v>
      </x:c>
      <x:c r="M237" s="6" t="n">
        <x:v>5.5645204073</x:v>
      </x:c>
      <x:c r="N237" s="6" t="n">
        <x:v>0</x:v>
      </x:c>
      <x:c r="O237" s="4" t="str">
        <x:v>Glioblastoma</x:v>
      </x:c>
      <x:c r="P237" s="6" t="n">
        <x:v>2</x:v>
      </x:c>
      <x:c r="Q237" s="8" t="n">
        <x:v>0.7728973285</x:v>
      </x:c>
      <x:c r="R237" s="6" t="n">
        <x:f>IF(Q237&gt;=Scope!$B$9,1,0)</x:f>
        <x:v>1</x:v>
      </x:c>
      <x:c r="S237" s="8" t="n">
        <x:v>0.6895191005</x:v>
      </x:c>
      <x:c r="T237" s="6" t="n">
        <x:f>IF(S237&gt;=Scope!$B$9,1,0)</x:f>
        <x:v>1</x:v>
      </x:c>
      <x:c r="U237" s="8" t="n">
        <x:v>0.7883597884</x:v>
      </x:c>
      <x:c r="V237" s="6" t="n">
        <x:f>IF(U237&gt;=Scope!$B$9,1,0)</x:f>
        <x:v>1</x:v>
      </x:c>
      <x:c r="W237" s="8" t="n">
        <x:f>(F237-Q237)^2</x:f>
        <x:v>0.0515756234024369</x:v>
      </x:c>
      <x:c r="X237" s="8" t="n">
        <x:f>(F237-S237)^2</x:f>
        <x:v>0.09639838895432912</x:v>
      </x:c>
      <x:c r="Y237" s="8" t="n">
        <x:f>(F237-U237)^2</x:f>
        <x:v>0.04479157916609278</x:v>
      </x:c>
    </x:row>
    <x:row r="238" ht="28" customHeight="1">
      <x:c r="A238" s="4" t="str">
        <x:v>UCSD-PTGBM-0178_01</x:v>
      </x:c>
      <x:c r="B238" s="4" t="str">
        <x:v>UCSD-PTGBM-0178</x:v>
      </x:c>
      <x:c r="C238" s="4" t="str">
        <x:v>BraTS-GLI-02433-100</x:v>
      </x:c>
      <x:c r="D238" s="4" t="str">
        <x:v>BraTS-GLI-02433</x:v>
      </x:c>
      <x:c r="E238" s="4" t="str">
        <x:v>dualid:UCSD-PTGBM-0178</x:v>
      </x:c>
      <x:c r="F238" s="6" t="n">
        <x:v>1</x:v>
      </x:c>
      <x:c r="G238" s="4" t="str">
        <x:v>derived_from_published_243_equals_192_plus_51_partition</x:v>
      </x:c>
      <x:c r="H238" s="6" t="n">
        <x:v>81</x:v>
      </x:c>
      <x:c r="I238" s="6" t="n">
        <x:v>1</x:v>
      </x:c>
      <x:c r="J238" s="6" t="n">
        <x:v>0</x:v>
      </x:c>
      <x:c r="K238" s="4" t="str">
        <x:v>-29</x:v>
      </x:c>
      <x:c r="L238" s="6" t="n">
        <x:v>29</x:v>
      </x:c>
      <x:c r="M238" s="6" t="n">
        <x:v>3.4011973817</x:v>
      </x:c>
      <x:c r="N238" s="6" t="n">
        <x:v>0</x:v>
      </x:c>
      <x:c r="O238" s="4" t="str">
        <x:v>Glioblastoma</x:v>
      </x:c>
      <x:c r="P238" s="6" t="n">
        <x:v>5</x:v>
      </x:c>
      <x:c r="Q238" s="8" t="n">
        <x:v>0.9086401825</x:v>
      </x:c>
      <x:c r="R238" s="6" t="n">
        <x:f>IF(Q238&gt;=Scope!$B$9,1,0)</x:f>
        <x:v>1</x:v>
      </x:c>
      <x:c r="S238" s="8" t="n">
        <x:v>0.9228923867</x:v>
      </x:c>
      <x:c r="T238" s="6" t="n">
        <x:f>IF(S238&gt;=Scope!$B$9,1,0)</x:f>
        <x:v>1</x:v>
      </x:c>
      <x:c r="U238" s="8" t="n">
        <x:v>0.7853403141</x:v>
      </x:c>
      <x:c r="V238" s="6" t="n">
        <x:f>IF(U238&gt;=Scope!$B$9,1,0)</x:f>
        <x:v>1</x:v>
      </x:c>
      <x:c r="W238" s="8" t="n">
        <x:f>(F238-Q238)^2</x:f>
        <x:v>0.008346616253633305</x:v>
      </x:c>
      <x:c r="X238" s="8" t="n">
        <x:f>(F238-S238)^2</x:f>
        <x:v>0.005945584028822344</x:v>
      </x:c>
      <x:c r="Y238" s="8" t="n">
        <x:f>(F238-U238)^2</x:f>
        <x:v>0.04607878075068664</x:v>
      </x:c>
    </x:row>
    <x:row r="239" ht="28" customHeight="1">
      <x:c r="A239" s="4" t="str">
        <x:v>UCSD-PTGBM-0178_02</x:v>
      </x:c>
      <x:c r="B239" s="4" t="str">
        <x:v>UCSD-PTGBM-0178</x:v>
      </x:c>
      <x:c r="C239" s="4" t="str">
        <x:v>BraTS-GLI-02433-101</x:v>
      </x:c>
      <x:c r="D239" s="4" t="str">
        <x:v>BraTS-GLI-02433</x:v>
      </x:c>
      <x:c r="E239" s="4" t="str">
        <x:v>dualid:UCSD-PTGBM-0178</x:v>
      </x:c>
      <x:c r="F239" s="6" t="n">
        <x:v>1</x:v>
      </x:c>
      <x:c r="G239" s="4" t="str">
        <x:v>derived_from_published_243_equals_192_plus_51_partition</x:v>
      </x:c>
      <x:c r="H239" s="6" t="n">
        <x:v>81</x:v>
      </x:c>
      <x:c r="I239" s="6" t="n">
        <x:v>1</x:v>
      </x:c>
      <x:c r="J239" s="6" t="n">
        <x:v>1</x:v>
      </x:c>
      <x:c r="K239" s="4" t="str">
        <x:v>-643</x:v>
      </x:c>
      <x:c r="L239" s="6" t="n">
        <x:v>643</x:v>
      </x:c>
      <x:c r="M239" s="6" t="n">
        <x:v>6.4676987261</x:v>
      </x:c>
      <x:c r="N239" s="6" t="n">
        <x:v>0</x:v>
      </x:c>
      <x:c r="O239" s="4" t="str">
        <x:v>Glioblastoma</x:v>
      </x:c>
      <x:c r="P239" s="6" t="n">
        <x:v>5</x:v>
      </x:c>
      <x:c r="Q239" s="8" t="n">
        <x:v>0.9086401825</x:v>
      </x:c>
      <x:c r="R239" s="6" t="n">
        <x:f>IF(Q239&gt;=Scope!$B$9,1,0)</x:f>
        <x:v>1</x:v>
      </x:c>
      <x:c r="S239" s="8" t="n">
        <x:v>0.8571057759</x:v>
      </x:c>
      <x:c r="T239" s="6" t="n">
        <x:f>IF(S239&gt;=Scope!$B$9,1,0)</x:f>
        <x:v>1</x:v>
      </x:c>
      <x:c r="U239" s="8" t="n">
        <x:v>0.7853403141</x:v>
      </x:c>
      <x:c r="V239" s="6" t="n">
        <x:f>IF(U239&gt;=Scope!$B$9,1,0)</x:f>
        <x:v>1</x:v>
      </x:c>
      <x:c r="W239" s="8" t="n">
        <x:f>(F239-Q239)^2</x:f>
        <x:v>0.008346616253633305</x:v>
      </x:c>
      <x:c r="X239" s="8" t="n">
        <x:f>(F239-S239)^2</x:f>
        <x:v>0.02041875928114101</x:v>
      </x:c>
      <x:c r="Y239" s="8" t="n">
        <x:f>(F239-U239)^2</x:f>
        <x:v>0.04607878075068664</x:v>
      </x:c>
    </x:row>
  </x:sheetData>
  <x:pageMargins left="0.7" right="0.7" top="0.75" bottom="0.75" header="0.3" footer="0.3"/>
  <x:tableParts count="1">
    <x:tablePart xmlns:r="http://schemas.openxmlformats.org/officeDocument/2006/relationships" r:id="R77795bebb5164c1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64" hidden="0" customWidth="1"/>
    <x:col min="5" max="5" width="27.52000045776367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4.079999923706055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58" customHeight="1">
      <x:c r="A1" s="19" t="str">
        <x:v>fold</x:v>
      </x:c>
      <x:c r="B1" s="18" t="str">
        <x:v>model</x:v>
      </x:c>
      <x:c r="C1" s="19" t="str">
        <x:v>n_train</x:v>
      </x:c>
      <x:c r="D1" s="19" t="str">
        <x:v>n_test</x:v>
      </x:c>
      <x:c r="E1" s="19" t="str">
        <x:v>n_test_patients</x:v>
      </x:c>
      <x:c r="F1" s="19" t="str">
        <x:v>test_tumor</x:v>
      </x:c>
      <x:c r="G1" s="19" t="str">
        <x:v>test_treatment_change</x:v>
      </x:c>
      <x:c r="H1" s="20" t="str">
        <x:v>roc_auc</x:v>
      </x:c>
      <x:c r="I1" s="20" t="str">
        <x:v>ap_tumor</x:v>
      </x:c>
      <x:c r="J1" s="20" t="str">
        <x:v>ap_treatment_change</x:v>
      </x:c>
      <x:c r="K1" s="20" t="str">
        <x:v>brier</x:v>
      </x:c>
      <x:c r="L1" s="20" t="str">
        <x:v>sensitivity_tumor</x:v>
      </x:c>
      <x:c r="M1" s="20" t="str">
        <x:v>specificity_treatment_change</x:v>
      </x:c>
      <x:c r="N1" s="20" t="str">
        <x:v>balanced_accuracy</x:v>
      </x:c>
      <x:c r="O1" s="20" t="str">
        <x:v>accuracy</x:v>
      </x:c>
      <x:c r="P1" s="19" t="str">
        <x:v>tn</x:v>
      </x:c>
      <x:c r="Q1" s="19" t="str">
        <x:v>fp</x:v>
      </x:c>
      <x:c r="R1" s="19" t="str">
        <x:v>fn</x:v>
      </x:c>
      <x:c r="S1" s="19" t="str">
        <x:v>tp</x:v>
      </x:c>
    </x:row>
    <x:row r="2" ht="28" customHeight="1">
      <x:c r="A2" s="6" t="n">
        <x:v>1</x:v>
      </x:c>
      <x:c r="B2" s="4" t="str">
        <x:v>M0</x:v>
      </x:c>
      <x:c r="C2" s="6" t="n">
        <x:v>190</x:v>
      </x:c>
      <x:c r="D2" s="6" t="n">
        <x:v>48</x:v>
      </x:c>
      <x:c r="E2" s="6" t="n">
        <x:v>35</x:v>
      </x:c>
      <x:c r="F2" s="6" t="n">
        <x:v>38</x:v>
      </x:c>
      <x:c r="G2" s="6" t="n">
        <x:v>10</x:v>
      </x:c>
      <x:c r="H2" s="8" t="n">
        <x:v>0.6157894737</x:v>
      </x:c>
      <x:c r="I2" s="8" t="n">
        <x:v>0.8661646524</x:v>
      </x:c>
      <x:c r="J2" s="8" t="n">
        <x:v>0.3526471902</x:v>
      </x:c>
      <x:c r="K2" s="8" t="n">
        <x:v>0.1589657153</x:v>
      </x:c>
      <x:c r="L2" s="8" t="n">
        <x:v>1</x:v>
      </x:c>
      <x:c r="M2" s="8" t="n">
        <x:v>0</x:v>
      </x:c>
      <x:c r="N2" s="8" t="n">
        <x:v>0.5</x:v>
      </x:c>
      <x:c r="O2" s="8" t="n">
        <x:v>0.7916666667</x:v>
      </x:c>
      <x:c r="P2" s="6" t="n">
        <x:v>0</x:v>
      </x:c>
      <x:c r="Q2" s="6" t="n">
        <x:v>10</x:v>
      </x:c>
      <x:c r="R2" s="6" t="n">
        <x:v>0</x:v>
      </x:c>
      <x:c r="S2" s="6" t="n">
        <x:v>38</x:v>
      </x:c>
    </x:row>
    <x:row r="3" ht="28" customHeight="1">
      <x:c r="A3" s="6" t="n">
        <x:v>1</x:v>
      </x:c>
      <x:c r="B3" s="4" t="str">
        <x:v>M1</x:v>
      </x:c>
      <x:c r="C3" s="6" t="n">
        <x:v>190</x:v>
      </x:c>
      <x:c r="D3" s="6" t="n">
        <x:v>48</x:v>
      </x:c>
      <x:c r="E3" s="6" t="n">
        <x:v>35</x:v>
      </x:c>
      <x:c r="F3" s="6" t="n">
        <x:v>38</x:v>
      </x:c>
      <x:c r="G3" s="6" t="n">
        <x:v>10</x:v>
      </x:c>
      <x:c r="H3" s="8" t="n">
        <x:v>0.7657894737</x:v>
      </x:c>
      <x:c r="I3" s="8" t="n">
        <x:v>0.9054819942</x:v>
      </x:c>
      <x:c r="J3" s="8" t="n">
        <x:v>0.5358864575</x:v>
      </x:c>
      <x:c r="K3" s="8" t="n">
        <x:v>0.139682887</x:v>
      </x:c>
      <x:c r="L3" s="8" t="n">
        <x:v>1</x:v>
      </x:c>
      <x:c r="M3" s="8" t="n">
        <x:v>0</x:v>
      </x:c>
      <x:c r="N3" s="8" t="n">
        <x:v>0.5</x:v>
      </x:c>
      <x:c r="O3" s="8" t="n">
        <x:v>0.7916666667</x:v>
      </x:c>
      <x:c r="P3" s="6" t="n">
        <x:v>0</x:v>
      </x:c>
      <x:c r="Q3" s="6" t="n">
        <x:v>10</x:v>
      </x:c>
      <x:c r="R3" s="6" t="n">
        <x:v>0</x:v>
      </x:c>
      <x:c r="S3" s="6" t="n">
        <x:v>38</x:v>
      </x:c>
    </x:row>
    <x:row r="4" ht="28" customHeight="1">
      <x:c r="A4" s="6" t="n">
        <x:v>2</x:v>
      </x:c>
      <x:c r="B4" s="4" t="str">
        <x:v>M0</x:v>
      </x:c>
      <x:c r="C4" s="6" t="n">
        <x:v>189</x:v>
      </x:c>
      <x:c r="D4" s="6" t="n">
        <x:v>49</x:v>
      </x:c>
      <x:c r="E4" s="6" t="n">
        <x:v>38</x:v>
      </x:c>
      <x:c r="F4" s="6" t="n">
        <x:v>38</x:v>
      </x:c>
      <x:c r="G4" s="6" t="n">
        <x:v>11</x:v>
      </x:c>
      <x:c r="H4" s="8" t="n">
        <x:v>0.5574162679</x:v>
      </x:c>
      <x:c r="I4" s="8" t="n">
        <x:v>0.7968437954</x:v>
      </x:c>
      <x:c r="J4" s="8" t="n">
        <x:v>0.5181030308</x:v>
      </x:c>
      <x:c r="K4" s="8" t="n">
        <x:v>0.1636012952</x:v>
      </x:c>
      <x:c r="L4" s="8" t="n">
        <x:v>1</x:v>
      </x:c>
      <x:c r="M4" s="8" t="n">
        <x:v>0</x:v>
      </x:c>
      <x:c r="N4" s="8" t="n">
        <x:v>0.5</x:v>
      </x:c>
      <x:c r="O4" s="8" t="n">
        <x:v>0.7755102041</x:v>
      </x:c>
      <x:c r="P4" s="6" t="n">
        <x:v>0</x:v>
      </x:c>
      <x:c r="Q4" s="6" t="n">
        <x:v>11</x:v>
      </x:c>
      <x:c r="R4" s="6" t="n">
        <x:v>0</x:v>
      </x:c>
      <x:c r="S4" s="6" t="n">
        <x:v>38</x:v>
      </x:c>
    </x:row>
    <x:row r="5" ht="28" customHeight="1">
      <x:c r="A5" s="6" t="n">
        <x:v>2</x:v>
      </x:c>
      <x:c r="B5" s="4" t="str">
        <x:v>M1</x:v>
      </x:c>
      <x:c r="C5" s="6" t="n">
        <x:v>189</x:v>
      </x:c>
      <x:c r="D5" s="6" t="n">
        <x:v>49</x:v>
      </x:c>
      <x:c r="E5" s="6" t="n">
        <x:v>38</x:v>
      </x:c>
      <x:c r="F5" s="6" t="n">
        <x:v>38</x:v>
      </x:c>
      <x:c r="G5" s="6" t="n">
        <x:v>11</x:v>
      </x:c>
      <x:c r="H5" s="8" t="n">
        <x:v>0.764354067</x:v>
      </x:c>
      <x:c r="I5" s="8" t="n">
        <x:v>0.8723027411</x:v>
      </x:c>
      <x:c r="J5" s="8" t="n">
        <x:v>0.5629084262</x:v>
      </x:c>
      <x:c r="K5" s="8" t="n">
        <x:v>0.1420539544</x:v>
      </x:c>
      <x:c r="L5" s="8" t="n">
        <x:v>1</x:v>
      </x:c>
      <x:c r="M5" s="8" t="n">
        <x:v>0.1818181818</x:v>
      </x:c>
      <x:c r="N5" s="8" t="n">
        <x:v>0.5909090909</x:v>
      </x:c>
      <x:c r="O5" s="8" t="n">
        <x:v>0.8163265306</x:v>
      </x:c>
      <x:c r="P5" s="6" t="n">
        <x:v>2</x:v>
      </x:c>
      <x:c r="Q5" s="6" t="n">
        <x:v>9</x:v>
      </x:c>
      <x:c r="R5" s="6" t="n">
        <x:v>0</x:v>
      </x:c>
      <x:c r="S5" s="6" t="n">
        <x:v>38</x:v>
      </x:c>
    </x:row>
    <x:row r="6" ht="28" customHeight="1">
      <x:c r="A6" s="6" t="n">
        <x:v>3</x:v>
      </x:c>
      <x:c r="B6" s="4" t="str">
        <x:v>M0</x:v>
      </x:c>
      <x:c r="C6" s="6" t="n">
        <x:v>191</x:v>
      </x:c>
      <x:c r="D6" s="6" t="n">
        <x:v>47</x:v>
      </x:c>
      <x:c r="E6" s="6" t="n">
        <x:v>35</x:v>
      </x:c>
      <x:c r="F6" s="6" t="n">
        <x:v>37</x:v>
      </x:c>
      <x:c r="G6" s="6" t="n">
        <x:v>10</x:v>
      </x:c>
      <x:c r="H6" s="8" t="n">
        <x:v>0.6972972973</x:v>
      </x:c>
      <x:c r="I6" s="8" t="n">
        <x:v>0.8613516268</x:v>
      </x:c>
      <x:c r="J6" s="8" t="n">
        <x:v>0.3695991066</x:v>
      </x:c>
      <x:c r="K6" s="8" t="n">
        <x:v>0.1594367694</x:v>
      </x:c>
      <x:c r="L6" s="8" t="n">
        <x:v>1</x:v>
      </x:c>
      <x:c r="M6" s="8" t="n">
        <x:v>0</x:v>
      </x:c>
      <x:c r="N6" s="8" t="n">
        <x:v>0.5</x:v>
      </x:c>
      <x:c r="O6" s="8" t="n">
        <x:v>0.7872340426</x:v>
      </x:c>
      <x:c r="P6" s="6" t="n">
        <x:v>0</x:v>
      </x:c>
      <x:c r="Q6" s="6" t="n">
        <x:v>10</x:v>
      </x:c>
      <x:c r="R6" s="6" t="n">
        <x:v>0</x:v>
      </x:c>
      <x:c r="S6" s="6" t="n">
        <x:v>37</x:v>
      </x:c>
    </x:row>
    <x:row r="7" ht="28" customHeight="1">
      <x:c r="A7" s="6" t="n">
        <x:v>3</x:v>
      </x:c>
      <x:c r="B7" s="4" t="str">
        <x:v>M1</x:v>
      </x:c>
      <x:c r="C7" s="6" t="n">
        <x:v>191</x:v>
      </x:c>
      <x:c r="D7" s="6" t="n">
        <x:v>47</x:v>
      </x:c>
      <x:c r="E7" s="6" t="n">
        <x:v>35</x:v>
      </x:c>
      <x:c r="F7" s="6" t="n">
        <x:v>37</x:v>
      </x:c>
      <x:c r="G7" s="6" t="n">
        <x:v>10</x:v>
      </x:c>
      <x:c r="H7" s="8" t="n">
        <x:v>0.6432432432</x:v>
      </x:c>
      <x:c r="I7" s="8" t="n">
        <x:v>0.8332605879</x:v>
      </x:c>
      <x:c r="J7" s="8" t="n">
        <x:v>0.5331332576</x:v>
      </x:c>
      <x:c r="K7" s="8" t="n">
        <x:v>0.1591780755</x:v>
      </x:c>
      <x:c r="L7" s="8" t="n">
        <x:v>1</x:v>
      </x:c>
      <x:c r="M7" s="8" t="n">
        <x:v>0.2</x:v>
      </x:c>
      <x:c r="N7" s="8" t="n">
        <x:v>0.6</x:v>
      </x:c>
      <x:c r="O7" s="8" t="n">
        <x:v>0.829787234</x:v>
      </x:c>
      <x:c r="P7" s="6" t="n">
        <x:v>2</x:v>
      </x:c>
      <x:c r="Q7" s="6" t="n">
        <x:v>8</x:v>
      </x:c>
      <x:c r="R7" s="6" t="n">
        <x:v>0</x:v>
      </x:c>
      <x:c r="S7" s="6" t="n">
        <x:v>37</x:v>
      </x:c>
    </x:row>
    <x:row r="8" ht="28" customHeight="1">
      <x:c r="A8" s="6" t="n">
        <x:v>4</x:v>
      </x:c>
      <x:c r="B8" s="4" t="str">
        <x:v>M0</x:v>
      </x:c>
      <x:c r="C8" s="6" t="n">
        <x:v>191</x:v>
      </x:c>
      <x:c r="D8" s="6" t="n">
        <x:v>47</x:v>
      </x:c>
      <x:c r="E8" s="6" t="n">
        <x:v>33</x:v>
      </x:c>
      <x:c r="F8" s="6" t="n">
        <x:v>37</x:v>
      </x:c>
      <x:c r="G8" s="6" t="n">
        <x:v>10</x:v>
      </x:c>
      <x:c r="H8" s="8" t="n">
        <x:v>0.5716216216</x:v>
      </x:c>
      <x:c r="I8" s="8" t="n">
        <x:v>0.8578320891</x:v>
      </x:c>
      <x:c r="J8" s="8" t="n">
        <x:v>0.2815715843</x:v>
      </x:c>
      <x:c r="K8" s="8" t="n">
        <x:v>0.1709198665</x:v>
      </x:c>
      <x:c r="L8" s="8" t="n">
        <x:v>1</x:v>
      </x:c>
      <x:c r="M8" s="8" t="n">
        <x:v>0</x:v>
      </x:c>
      <x:c r="N8" s="8" t="n">
        <x:v>0.5</x:v>
      </x:c>
      <x:c r="O8" s="8" t="n">
        <x:v>0.7872340426</x:v>
      </x:c>
      <x:c r="P8" s="6" t="n">
        <x:v>0</x:v>
      </x:c>
      <x:c r="Q8" s="6" t="n">
        <x:v>10</x:v>
      </x:c>
      <x:c r="R8" s="6" t="n">
        <x:v>0</x:v>
      </x:c>
      <x:c r="S8" s="6" t="n">
        <x:v>37</x:v>
      </x:c>
    </x:row>
    <x:row r="9" ht="28" customHeight="1">
      <x:c r="A9" s="6" t="n">
        <x:v>4</x:v>
      </x:c>
      <x:c r="B9" s="4" t="str">
        <x:v>M1</x:v>
      </x:c>
      <x:c r="C9" s="6" t="n">
        <x:v>191</x:v>
      </x:c>
      <x:c r="D9" s="6" t="n">
        <x:v>47</x:v>
      </x:c>
      <x:c r="E9" s="6" t="n">
        <x:v>33</x:v>
      </x:c>
      <x:c r="F9" s="6" t="n">
        <x:v>37</x:v>
      </x:c>
      <x:c r="G9" s="6" t="n">
        <x:v>10</x:v>
      </x:c>
      <x:c r="H9" s="8" t="n">
        <x:v>0.572972973</x:v>
      </x:c>
      <x:c r="I9" s="8" t="n">
        <x:v>0.8325005206</x:v>
      </x:c>
      <x:c r="J9" s="8" t="n">
        <x:v>0.3453723041</x:v>
      </x:c>
      <x:c r="K9" s="8" t="n">
        <x:v>0.1796689644</x:v>
      </x:c>
      <x:c r="L9" s="8" t="n">
        <x:v>0.8918918919</x:v>
      </x:c>
      <x:c r="M9" s="8" t="n">
        <x:v>0.1</x:v>
      </x:c>
      <x:c r="N9" s="8" t="n">
        <x:v>0.4959459459</x:v>
      </x:c>
      <x:c r="O9" s="8" t="n">
        <x:v>0.7234042553</x:v>
      </x:c>
      <x:c r="P9" s="6" t="n">
        <x:v>1</x:v>
      </x:c>
      <x:c r="Q9" s="6" t="n">
        <x:v>9</x:v>
      </x:c>
      <x:c r="R9" s="6" t="n">
        <x:v>4</x:v>
      </x:c>
      <x:c r="S9" s="6" t="n">
        <x:v>33</x:v>
      </x:c>
    </x:row>
    <x:row r="10" ht="28" customHeight="1">
      <x:c r="A10" s="6" t="n">
        <x:v>5</x:v>
      </x:c>
      <x:c r="B10" s="4" t="str">
        <x:v>M0</x:v>
      </x:c>
      <x:c r="C10" s="6" t="n">
        <x:v>191</x:v>
      </x:c>
      <x:c r="D10" s="6" t="n">
        <x:v>47</x:v>
      </x:c>
      <x:c r="E10" s="6" t="n">
        <x:v>35</x:v>
      </x:c>
      <x:c r="F10" s="6" t="n">
        <x:v>37</x:v>
      </x:c>
      <x:c r="G10" s="6" t="n">
        <x:v>10</x:v>
      </x:c>
      <x:c r="H10" s="8" t="n">
        <x:v>0.6094594595</x:v>
      </x:c>
      <x:c r="I10" s="8" t="n">
        <x:v>0.8507382325</x:v>
      </x:c>
      <x:c r="J10" s="8" t="n">
        <x:v>0.3393718905</x:v>
      </x:c>
      <x:c r="K10" s="8" t="n">
        <x:v>0.1670719029</x:v>
      </x:c>
      <x:c r="L10" s="8" t="n">
        <x:v>1</x:v>
      </x:c>
      <x:c r="M10" s="8" t="n">
        <x:v>0</x:v>
      </x:c>
      <x:c r="N10" s="8" t="n">
        <x:v>0.5</x:v>
      </x:c>
      <x:c r="O10" s="8" t="n">
        <x:v>0.7872340426</x:v>
      </x:c>
      <x:c r="P10" s="6" t="n">
        <x:v>0</x:v>
      </x:c>
      <x:c r="Q10" s="6" t="n">
        <x:v>10</x:v>
      </x:c>
      <x:c r="R10" s="6" t="n">
        <x:v>0</x:v>
      </x:c>
      <x:c r="S10" s="6" t="n">
        <x:v>37</x:v>
      </x:c>
    </x:row>
    <x:row r="11" ht="28" customHeight="1">
      <x:c r="A11" s="6" t="n">
        <x:v>5</x:v>
      </x:c>
      <x:c r="B11" s="4" t="str">
        <x:v>M1</x:v>
      </x:c>
      <x:c r="C11" s="6" t="n">
        <x:v>191</x:v>
      </x:c>
      <x:c r="D11" s="6" t="n">
        <x:v>47</x:v>
      </x:c>
      <x:c r="E11" s="6" t="n">
        <x:v>35</x:v>
      </x:c>
      <x:c r="F11" s="6" t="n">
        <x:v>37</x:v>
      </x:c>
      <x:c r="G11" s="6" t="n">
        <x:v>10</x:v>
      </x:c>
      <x:c r="H11" s="8" t="n">
        <x:v>0.6864864865</x:v>
      </x:c>
      <x:c r="I11" s="8" t="n">
        <x:v>0.8703455684</x:v>
      </x:c>
      <x:c r="J11" s="8" t="n">
        <x:v>0.4599268122</x:v>
      </x:c>
      <x:c r="K11" s="8" t="n">
        <x:v>0.1536790326</x:v>
      </x:c>
      <x:c r="L11" s="8" t="n">
        <x:v>1</x:v>
      </x:c>
      <x:c r="M11" s="8" t="n">
        <x:v>0</x:v>
      </x:c>
      <x:c r="N11" s="8" t="n">
        <x:v>0.5</x:v>
      </x:c>
      <x:c r="O11" s="8" t="n">
        <x:v>0.7872340426</x:v>
      </x:c>
      <x:c r="P11" s="6" t="n">
        <x:v>0</x:v>
      </x:c>
      <x:c r="Q11" s="6" t="n">
        <x:v>10</x:v>
      </x:c>
      <x:c r="R11" s="6" t="n">
        <x:v>0</x:v>
      </x:c>
      <x:c r="S11" s="6" t="n">
        <x:v>37</x:v>
      </x:c>
    </x:row>
    <x:row r="15" ht="58" customHeight="1">
      <x:c r="A15" s="19" t="str">
        <x:v>fold</x:v>
      </x:c>
      <x:c r="B15" s="19" t="str">
        <x:v>train_age_mean</x:v>
      </x:c>
      <x:c r="C15" s="19" t="str">
        <x:v>train_log_interval_impute_median</x:v>
      </x:c>
      <x:c r="D15" s="19" t="str">
        <x:v>train_log_interval_mean_after_fill</x:v>
      </x:c>
      <x:c r="E15" s="19" t="str">
        <x:v>train_log_interval_sd_after_fill</x:v>
      </x:c>
    </x:row>
    <x:row r="16" ht="28" customHeight="1">
      <x:c r="A16" s="6" t="n">
        <x:v>1</x:v>
      </x:c>
      <x:c r="B16" s="8" t="n">
        <x:v>54.6526315789</x:v>
      </x:c>
      <x:c r="C16" s="8" t="n">
        <x:v>5.1924009865</x:v>
      </x:c>
      <x:c r="D16" s="8" t="n">
        <x:v>4.9911959007</x:v>
      </x:c>
      <x:c r="E16" s="8" t="n">
        <x:v>1.2229151549</x:v>
      </x:c>
    </x:row>
    <x:row r="17" ht="28" customHeight="1">
      <x:c r="A17" s="6" t="n">
        <x:v>2</x:v>
      </x:c>
      <x:c r="B17" s="8" t="n">
        <x:v>55.7195767196</x:v>
      </x:c>
      <x:c r="C17" s="8" t="n">
        <x:v>5.0238805208</x:v>
      </x:c>
      <x:c r="D17" s="8" t="n">
        <x:v>4.9194373683</x:v>
      </x:c>
      <x:c r="E17" s="8" t="n">
        <x:v>1.1373062921</x:v>
      </x:c>
    </x:row>
    <x:row r="18" ht="28" customHeight="1">
      <x:c r="A18" s="6" t="n">
        <x:v>3</x:v>
      </x:c>
      <x:c r="B18" s="8" t="n">
        <x:v>55.6230366492</x:v>
      </x:c>
      <x:c r="C18" s="8" t="n">
        <x:v>4.8520302639</x:v>
      </x:c>
      <x:c r="D18" s="8" t="n">
        <x:v>4.8414811366</x:v>
      </x:c>
      <x:c r="E18" s="8" t="n">
        <x:v>1.1960461348</x:v>
      </x:c>
    </x:row>
    <x:row r="19" ht="28" customHeight="1">
      <x:c r="A19" s="6" t="n">
        <x:v>4</x:v>
      </x:c>
      <x:c r="B19" s="8" t="n">
        <x:v>56.0052356021</x:v>
      </x:c>
      <x:c r="C19" s="8" t="n">
        <x:v>5.0238805208</x:v>
      </x:c>
      <x:c r="D19" s="8" t="n">
        <x:v>4.9125487915</x:v>
      </x:c>
      <x:c r="E19" s="8" t="n">
        <x:v>1.1661313511</x:v>
      </x:c>
    </x:row>
    <x:row r="20" ht="28" customHeight="1">
      <x:c r="A20" s="6" t="n">
        <x:v>5</x:v>
      </x:c>
      <x:c r="B20" s="8" t="n">
        <x:v>55.0994764398</x:v>
      </x:c>
      <x:c r="C20" s="8" t="n">
        <x:v>5.0562458053</x:v>
      </x:c>
      <x:c r="D20" s="8" t="n">
        <x:v>4.952425176</x:v>
      </x:c>
      <x:c r="E20" s="8" t="n">
        <x:v>1.2078105731</x:v>
      </x:c>
    </x:row>
    <x:row r="24" ht="58" customHeight="1">
      <x:c r="A24" s="18" t="str">
        <x:v>model</x:v>
      </x:c>
      <x:c r="B24" s="18" t="str">
        <x:v>feature</x:v>
      </x:c>
      <x:c r="C24" s="19" t="str">
        <x:v>coefficient</x:v>
      </x:c>
      <x:c r="D24" s="18" t="str">
        <x:v>meaning</x:v>
      </x:c>
    </x:row>
    <x:row r="25" ht="28" customHeight="1">
      <x:c r="A25" s="4" t="str">
        <x:v>M0</x:v>
      </x:c>
      <x:c r="B25" s="4" t="str">
        <x:v>intercept</x:v>
      </x:c>
      <x:c r="C25" s="8" t="n">
        <x:v>1.0417622512767237</x:v>
      </x:c>
      <x:c r="D25" s="4" t="str">
        <x:v>全队列描述/重建，不是独立危险因素推断</x:v>
      </x:c>
    </x:row>
    <x:row r="26" ht="28" customHeight="1">
      <x:c r="A26" s="4" t="str">
        <x:v>M0</x:v>
      </x:c>
      <x:c r="B26" s="4" t="str">
        <x:v>age_years</x:v>
      </x:c>
      <x:c r="C26" s="8" t="n">
        <x:v>0.40391157005120587</x:v>
      </x:c>
      <x:c r="D26" s="4" t="str">
        <x:v>连续项为训练流程标准化尺度；二分类为0/1</x:v>
      </x:c>
    </x:row>
    <x:row r="27" ht="28" customHeight="1">
      <x:c r="A27" s="4" t="str">
        <x:v>M0</x:v>
      </x:c>
      <x:c r="B27" s="4" t="str">
        <x:v>sex_male</x:v>
      </x:c>
      <x:c r="C27" s="8" t="n">
        <x:v>0.43726618252343824</x:v>
      </x:c>
      <x:c r="D27" s="4" t="str">
        <x:v>连续项为训练流程标准化尺度；二分类为0/1</x:v>
      </x:c>
    </x:row>
    <x:row r="28" ht="28" customHeight="1">
      <x:c r="A28" s="4" t="str">
        <x:v>M1</x:v>
      </x:c>
      <x:c r="B28" s="4" t="str">
        <x:v>intercept</x:v>
      </x:c>
      <x:c r="C28" s="8" t="n">
        <x:v>0.9865237225275673</x:v>
      </x:c>
      <x:c r="D28" s="4" t="str">
        <x:v>全队列描述/重建，不是独立危险因素推断</x:v>
      </x:c>
    </x:row>
    <x:row r="29" ht="28" customHeight="1">
      <x:c r="A29" s="4" t="str">
        <x:v>M1</x:v>
      </x:c>
      <x:c r="B29" s="4" t="str">
        <x:v>age_years</x:v>
      </x:c>
      <x:c r="C29" s="8" t="n">
        <x:v>0.2368991351593043</x:v>
      </x:c>
      <x:c r="D29" s="4" t="str">
        <x:v>连续项为训练流程标准化尺度；二分类为0/1</x:v>
      </x:c>
    </x:row>
    <x:row r="30" ht="28" customHeight="1">
      <x:c r="A30" s="4" t="str">
        <x:v>M1</x:v>
      </x:c>
      <x:c r="B30" s="4" t="str">
        <x:v>log_initial_event_days</x:v>
      </x:c>
      <x:c r="C30" s="8" t="n">
        <x:v>-0.5677500436490616</x:v>
      </x:c>
      <x:c r="D30" s="4" t="str">
        <x:v>连续项为训练流程标准化尺度；二分类为0/1</x:v>
      </x:c>
    </x:row>
    <x:row r="31" ht="28" customHeight="1">
      <x:c r="A31" s="4" t="str">
        <x:v>M1</x:v>
      </x:c>
      <x:c r="B31" s="4" t="str">
        <x:v>sex_male</x:v>
      </x:c>
      <x:c r="C31" s="8" t="n">
        <x:v>0.24148816462621114</x:v>
      </x:c>
      <x:c r="D31" s="4" t="str">
        <x:v>连续项为训练流程标准化尺度；二分类为0/1</x:v>
      </x:c>
    </x:row>
    <x:row r="32" ht="28" customHeight="1">
      <x:c r="A32" s="4" t="str">
        <x:v>M1</x:v>
      </x:c>
      <x:c r="B32" s="4" t="str">
        <x:v>other_treatment_prior</x:v>
      </x:c>
      <x:c r="C32" s="8" t="n">
        <x:v>0.6554254693092543</x:v>
      </x:c>
      <x:c r="D32" s="4" t="str">
        <x:v>连续项为训练流程标准化尺度；二分类为0/1</x:v>
      </x:c>
    </x:row>
    <x:row r="33" ht="28" customHeight="1">
      <x:c r="A33" s="4" t="str">
        <x:v>M1</x:v>
      </x:c>
      <x:c r="B33" s="4" t="str">
        <x:v>initial_event_missing</x:v>
      </x:c>
      <x:c r="C33" s="8" t="n">
        <x:v>0.9356288931672583</x:v>
      </x:c>
      <x:c r="D33" s="4" t="str">
        <x:v>连续项为训练流程标准化尺度；二分类为0/1</x:v>
      </x:c>
    </x:row>
  </x:sheetData>
  <x:pageMargins left="0.7" right="0.7" top="0.75" bottom="0.75" header="0.3" footer="0.3"/>
  <x:tableParts count="3">
    <x:tablePart xmlns:r="http://schemas.openxmlformats.org/officeDocument/2006/relationships" r:id="R962df5711acb4b46"/>
    <x:tablePart xmlns:r="http://schemas.openxmlformats.org/officeDocument/2006/relationships" r:id="R6e15e852c6b442e7"/>
    <x:tablePart xmlns:r="http://schemas.openxmlformats.org/officeDocument/2006/relationships" r:id="Rfdf10286fed848f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1" topLeftCell="C12" activePane="bottomRight" state="frozen"/>
    </x:sheetView>
  </x:sheetViews>
  <x:sheetFormatPr defaultRowHeight="15"/>
  <x:cols>
    <x:col min="7" max="7" width="64" hidden="0" customWidth="1"/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6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>
      <x:c r="A1" s="21" t="str">
        <x:v>完整初始事件资料敏感性分析（次要）</x:v>
      </x:c>
    </x:row>
    <x:row r="3" ht="29" customHeight="1">
      <x:c r="A3" s="2" t="str">
        <x:v>扫描数</x:v>
      </x:c>
      <x:c r="B3" s="2" t="n">
        <x:v>192</x:v>
      </x:c>
      <x:c r="C3" s="2" t="str">
        <x:v>源患者数</x:v>
      </x:c>
      <x:c r="D3" s="2" t="n">
        <x:v>142</x:v>
      </x:c>
      <x:c r="E3" s="2" t="str">
        <x:v>肿瘤</x:v>
      </x:c>
      <x:c r="F3" s="2" t="n">
        <x:v>145</x:v>
      </x:c>
      <x:c r="G3" s="2" t="str">
        <x:v>治疗改变</x:v>
      </x:c>
      <x:c r="H3" s="2" t="n">
        <x:v>47</x:v>
      </x:c>
    </x:row>
    <x:row r="4" ht="29" customHeight="1">
      <x:c r="A4" s="2"/>
      <x:c r="B4" s="2"/>
      <x:c r="C4" s="2"/>
      <x:c r="D4" s="2"/>
      <x:c r="E4" s="2"/>
      <x:c r="F4" s="2"/>
      <x:c r="G4" s="2"/>
      <x:c r="H4" s="2"/>
    </x:row>
    <x:row r="5" ht="58" customHeight="1">
      <x:c r="A5" s="25" t="str">
        <x:v>模型</x:v>
      </x:c>
      <x:c r="B5" s="25" t="str">
        <x:v>ROC AUC</x:v>
      </x:c>
      <x:c r="C5" s="25" t="str">
        <x:v>Brier</x:v>
      </x:c>
      <x:c r="D5" s="25" t="str">
        <x:v>治疗改变AP</x:v>
      </x:c>
      <x:c r="E5" s="25" t="str">
        <x:v>特异度@0.5</x:v>
      </x:c>
      <x:c r="F5" s="2"/>
      <x:c r="G5" s="2" t="str">
        <x:v>病例与主分析不同；两模型在本子集使用相同折。</x:v>
      </x:c>
      <x:c r="H5" s="2"/>
    </x:row>
    <x:row r="6" ht="29" customHeight="1">
      <x:c r="A6" s="2" t="str">
        <x:v>M0</x:v>
      </x:c>
      <x:c r="B6" s="26" t="n">
        <x:v>0.521129860601614</x:v>
      </x:c>
      <x:c r="C6" s="26" t="n">
        <x:v>0.18476593978107744</x:v>
      </x:c>
      <x:c r="D6" s="26" t="n">
        <x:v>0.30013946200225994</x:v>
      </x:c>
      <x:c r="E6" s="26" t="n">
        <x:v>0</x:v>
      </x:c>
      <x:c r="F6" s="2"/>
      <x:c r="G6" s="2"/>
      <x:c r="H6" s="2"/>
    </x:row>
    <x:row r="7" ht="29" customHeight="1">
      <x:c r="A7" s="2" t="str">
        <x:v>M1</x:v>
      </x:c>
      <x:c r="B7" s="26" t="n">
        <x:v>0.6225972120322817</x:v>
      </x:c>
      <x:c r="C7" s="26" t="n">
        <x:v>0.17851220674160095</x:v>
      </x:c>
      <x:c r="D7" s="26" t="n">
        <x:v>0.38892466583517604</x:v>
      </x:c>
      <x:c r="E7" s="26" t="n">
        <x:v>0.0851063829787234</x:v>
      </x:c>
      <x:c r="F7" s="2"/>
      <x:c r="G7" s="2" t="str">
        <x:v>不能用跨人群AUC差评价模型增益；未作独立验证。</x:v>
      </x:c>
      <x:c r="H7" s="2"/>
    </x:row>
    <x:row r="8" ht="29" customHeight="1">
      <x:c r="A8" s="2" t="str">
        <x:v>prior</x:v>
      </x:c>
      <x:c r="B8" s="26" t="n">
        <x:v>0.48041085840058695</x:v>
      </x:c>
      <x:c r="C8" s="26" t="n">
        <x:v>0.18496763945997383</x:v>
      </x:c>
      <x:c r="D8" s="26" t="n">
        <x:v>0.23654050428449133</x:v>
      </x:c>
      <x:c r="E8" s="26" t="n">
        <x:v>0</x:v>
      </x:c>
      <x:c r="F8" s="2"/>
      <x:c r="G8" s="2"/>
      <x:c r="H8" s="2"/>
    </x:row>
    <x:row r="11" ht="58" customHeight="1">
      <x:c r="A11" s="18" t="str">
        <x:v>ID</x:v>
      </x:c>
      <x:c r="B11" s="18" t="str">
        <x:v>patient_id</x:v>
      </x:c>
      <x:c r="C11" s="18" t="str">
        <x:v>BraTS ID</x:v>
      </x:c>
      <x:c r="D11" s="18" t="str">
        <x:v>brats_patient_id</x:v>
      </x:c>
      <x:c r="E11" s="18" t="str">
        <x:v>validation_group</x:v>
      </x:c>
      <x:c r="F11" s="19" t="str">
        <x:v>tumor_label</x:v>
      </x:c>
      <x:c r="G11" s="18" t="str">
        <x:v>label_source</x:v>
      </x:c>
      <x:c r="H11" s="19" t="str">
        <x:v>age_years</x:v>
      </x:c>
      <x:c r="I11" s="19" t="str">
        <x:v>sex_male</x:v>
      </x:c>
      <x:c r="J11" s="19" t="str">
        <x:v>other_treatment_prior</x:v>
      </x:c>
      <x:c r="K11" s="19" t="str">
        <x:v>initial_event_offset_raw</x:v>
      </x:c>
      <x:c r="L11" s="19" t="str">
        <x:v>days_since_initial_event</x:v>
      </x:c>
      <x:c r="M11" s="19" t="str">
        <x:v>log_initial_event_days</x:v>
      </x:c>
      <x:c r="N11" s="19" t="str">
        <x:v>initial_event_missing</x:v>
      </x:c>
      <x:c r="O11" s="18" t="str">
        <x:v>primary_diagnosis_raw</x:v>
      </x:c>
      <x:c r="P11" s="19" t="str">
        <x:v>validation_fold</x:v>
      </x:c>
      <x:c r="Q11" s="20" t="str">
        <x:v>M0_oof_probability</x:v>
      </x:c>
      <x:c r="R11" s="19" t="str">
        <x:v>M0_prediction_0_5</x:v>
      </x:c>
      <x:c r="S11" s="20" t="str">
        <x:v>M1_oof_probability</x:v>
      </x:c>
      <x:c r="T11" s="19" t="str">
        <x:v>M1_prediction_0_5</x:v>
      </x:c>
      <x:c r="U11" s="20" t="str">
        <x:v>prior_oof_probability</x:v>
      </x:c>
      <x:c r="V11" s="19" t="str">
        <x:v>prior_prediction_0_5</x:v>
      </x:c>
    </x:row>
    <x:row r="12" ht="28" customHeight="1">
      <x:c r="A12" s="4" t="str">
        <x:v>UCSD-PTGBM-0001_01</x:v>
      </x:c>
      <x:c r="B12" s="4" t="str">
        <x:v>UCSD-PTGBM-0001</x:v>
      </x:c>
      <x:c r="C12" s="4" t="str">
        <x:v>BraTS-GLI-02250-100</x:v>
      </x:c>
      <x:c r="D12" s="4" t="str">
        <x:v>BraTS-GLI-02250</x:v>
      </x:c>
      <x:c r="E12" s="4" t="str">
        <x:v>dualid:UCSD-PTGBM-0001</x:v>
      </x:c>
      <x:c r="F12" s="6" t="n">
        <x:v>0</x:v>
      </x:c>
      <x:c r="G12" s="4" t="str">
        <x:v>explicit_negative_case_list</x:v>
      </x:c>
      <x:c r="H12" s="6" t="n">
        <x:v>20</x:v>
      </x:c>
      <x:c r="I12" s="6" t="n">
        <x:v>1</x:v>
      </x:c>
      <x:c r="J12" s="6" t="n">
        <x:v>1</x:v>
      </x:c>
      <x:c r="K12" s="6" t="n">
        <x:v>-647</x:v>
      </x:c>
      <x:c r="L12" s="6" t="n">
        <x:v>647</x:v>
      </x:c>
      <x:c r="M12" s="6" t="n">
        <x:v>6.4738906963</x:v>
      </x:c>
      <x:c r="N12" s="6" t="n">
        <x:v>0</x:v>
      </x:c>
      <x:c r="O12" s="4" t="str">
        <x:v>Glioblastoma</x:v>
      </x:c>
      <x:c r="P12" s="6" t="n">
        <x:v>3</x:v>
      </x:c>
      <x:c r="Q12" s="8" t="n">
        <x:v>0.567703768</x:v>
      </x:c>
      <x:c r="R12" s="6" t="n">
        <x:v>1</x:v>
      </x:c>
      <x:c r="S12" s="8" t="n">
        <x:v>0.6623408352</x:v>
      </x:c>
      <x:c r="T12" s="6" t="n">
        <x:v>1</x:v>
      </x:c>
      <x:c r="U12" s="8" t="n">
        <x:v>0.7548387097</x:v>
      </x:c>
      <x:c r="V12" s="6" t="n">
        <x:v>1</x:v>
      </x:c>
    </x:row>
    <x:row r="13" ht="28" customHeight="1">
      <x:c r="A13" s="4" t="str">
        <x:v>UCSD-PTGBM-0002_01</x:v>
      </x:c>
      <x:c r="B13" s="4" t="str">
        <x:v>UCSD-PTGBM-0002</x:v>
      </x:c>
      <x:c r="C13" s="4" t="str">
        <x:v>BraTS-GLI-02251-100</x:v>
      </x:c>
      <x:c r="D13" s="4" t="str">
        <x:v>BraTS-GLI-02251</x:v>
      </x:c>
      <x:c r="E13" s="4" t="str">
        <x:v>dualid:UCSD-PTGBM-0002</x:v>
      </x:c>
      <x:c r="F13" s="6" t="n">
        <x:v>0</x:v>
      </x:c>
      <x:c r="G13" s="4" t="str">
        <x:v>explicit_negative_case_list</x:v>
      </x:c>
      <x:c r="H13" s="6" t="n">
        <x:v>59</x:v>
      </x:c>
      <x:c r="I13" s="6" t="n">
        <x:v>0</x:v>
      </x:c>
      <x:c r="J13" s="6" t="n">
        <x:v>0</x:v>
      </x:c>
      <x:c r="K13" s="6" t="n">
        <x:v>-196</x:v>
      </x:c>
      <x:c r="L13" s="6" t="n">
        <x:v>196</x:v>
      </x:c>
      <x:c r="M13" s="6" t="n">
        <x:v>5.2832037287</x:v>
      </x:c>
      <x:c r="N13" s="6" t="n">
        <x:v>0</x:v>
      </x:c>
      <x:c r="O13" s="4" t="str">
        <x:v>Glioblastoma</x:v>
      </x:c>
      <x:c r="P13" s="6" t="n">
        <x:v>1</x:v>
      </x:c>
      <x:c r="Q13" s="8" t="n">
        <x:v>0.784740423</x:v>
      </x:c>
      <x:c r="R13" s="6" t="n">
        <x:v>1</x:v>
      </x:c>
      <x:c r="S13" s="8" t="n">
        <x:v>0.7696866299</x:v>
      </x:c>
      <x:c r="T13" s="6" t="n">
        <x:v>1</x:v>
      </x:c>
      <x:c r="U13" s="8" t="n">
        <x:v>0.7597402597</x:v>
      </x:c>
      <x:c r="V13" s="6" t="n">
        <x:v>1</x:v>
      </x:c>
    </x:row>
    <x:row r="14" ht="28" customHeight="1">
      <x:c r="A14" s="4" t="str">
        <x:v>UCSD-PTGBM-0003_01</x:v>
      </x:c>
      <x:c r="B14" s="4" t="str">
        <x:v>UCSD-PTGBM-0003</x:v>
      </x:c>
      <x:c r="C14" s="4" t="str">
        <x:v>BraTS-GLI-02252-100</x:v>
      </x:c>
      <x:c r="D14" s="4" t="str">
        <x:v>BraTS-GLI-02252</x:v>
      </x:c>
      <x:c r="E14" s="4" t="str">
        <x:v>dualid:UCSD-PTGBM-0003</x:v>
      </x:c>
      <x:c r="F14" s="6" t="n">
        <x:v>1</x:v>
      </x:c>
      <x:c r="G14" s="4" t="str">
        <x:v>derived_from_published_243_equals_192_plus_51_partition</x:v>
      </x:c>
      <x:c r="H14" s="6" t="n">
        <x:v>54</x:v>
      </x:c>
      <x:c r="I14" s="6" t="n">
        <x:v>0</x:v>
      </x:c>
      <x:c r="J14" s="6" t="n">
        <x:v>0</x:v>
      </x:c>
      <x:c r="K14" s="6" t="n">
        <x:v>-117</x:v>
      </x:c>
      <x:c r="L14" s="6" t="n">
        <x:v>117</x:v>
      </x:c>
      <x:c r="M14" s="6" t="n">
        <x:v>4.7706846245</x:v>
      </x:c>
      <x:c r="N14" s="6" t="n">
        <x:v>0</x:v>
      </x:c>
      <x:c r="O14" s="4" t="str">
        <x:v>Glioblastoma</x:v>
      </x:c>
      <x:c r="P14" s="6" t="n">
        <x:v>3</x:v>
      </x:c>
      <x:c r="Q14" s="8" t="n">
        <x:v>0.7071667366</x:v>
      </x:c>
      <x:c r="R14" s="6" t="n">
        <x:v>1</x:v>
      </x:c>
      <x:c r="S14" s="8" t="n">
        <x:v>0.7433103452</x:v>
      </x:c>
      <x:c r="T14" s="6" t="n">
        <x:v>1</x:v>
      </x:c>
      <x:c r="U14" s="8" t="n">
        <x:v>0.7548387097</x:v>
      </x:c>
      <x:c r="V14" s="6" t="n">
        <x:v>1</x:v>
      </x:c>
    </x:row>
    <x:row r="15" ht="28" customHeight="1">
      <x:c r="A15" s="4" t="str">
        <x:v>UCSD-PTGBM-0004_01</x:v>
      </x:c>
      <x:c r="B15" s="4" t="str">
        <x:v>UCSD-PTGBM-0004</x:v>
      </x:c>
      <x:c r="C15" s="4" t="str">
        <x:v>BraTS-GLI-02253-100</x:v>
      </x:c>
      <x:c r="D15" s="4" t="str">
        <x:v>BraTS-GLI-02253</x:v>
      </x:c>
      <x:c r="E15" s="4" t="str">
        <x:v>dualid:UCSD-PTGBM-0004</x:v>
      </x:c>
      <x:c r="F15" s="6" t="n">
        <x:v>1</x:v>
      </x:c>
      <x:c r="G15" s="4" t="str">
        <x:v>derived_from_published_243_equals_192_plus_51_partition</x:v>
      </x:c>
      <x:c r="H15" s="6" t="n">
        <x:v>45</x:v>
      </x:c>
      <x:c r="I15" s="6" t="n">
        <x:v>0</x:v>
      </x:c>
      <x:c r="J15" s="6" t="n">
        <x:v>0</x:v>
      </x:c>
      <x:c r="K15" s="6" t="n">
        <x:v>-25</x:v>
      </x:c>
      <x:c r="L15" s="6" t="n">
        <x:v>25</x:v>
      </x:c>
      <x:c r="M15" s="6" t="n">
        <x:v>3.258096538</x:v>
      </x:c>
      <x:c r="N15" s="6" t="n">
        <x:v>0</x:v>
      </x:c>
      <x:c r="O15" s="4" t="str">
        <x:v>Glioblastoma</x:v>
      </x:c>
      <x:c r="P15" s="6" t="n">
        <x:v>4</x:v>
      </x:c>
      <x:c r="Q15" s="8" t="n">
        <x:v>0.6796641266</x:v>
      </x:c>
      <x:c r="R15" s="6" t="n">
        <x:v>1</x:v>
      </x:c>
      <x:c r="S15" s="8" t="n">
        <x:v>0.8873135386</x:v>
      </x:c>
      <x:c r="T15" s="6" t="n">
        <x:v>1</x:v>
      </x:c>
      <x:c r="U15" s="8" t="n">
        <x:v>0.7516339869</x:v>
      </x:c>
      <x:c r="V15" s="6" t="n">
        <x:v>1</x:v>
      </x:c>
    </x:row>
    <x:row r="16" ht="28" customHeight="1">
      <x:c r="A16" s="4" t="str">
        <x:v>UCSD-PTGBM-0004_02</x:v>
      </x:c>
      <x:c r="B16" s="4" t="str">
        <x:v>UCSD-PTGBM-0004</x:v>
      </x:c>
      <x:c r="C16" s="4" t="str">
        <x:v>BraTS-GLI-02253-101</x:v>
      </x:c>
      <x:c r="D16" s="4" t="str">
        <x:v>BraTS-GLI-02253</x:v>
      </x:c>
      <x:c r="E16" s="4" t="str">
        <x:v>dualid:UCSD-PTGBM-0004</x:v>
      </x:c>
      <x:c r="F16" s="6" t="n">
        <x:v>0</x:v>
      </x:c>
      <x:c r="G16" s="4" t="str">
        <x:v>explicit_negative_case_list</x:v>
      </x:c>
      <x:c r="H16" s="6" t="n">
        <x:v>45</x:v>
      </x:c>
      <x:c r="I16" s="6" t="n">
        <x:v>0</x:v>
      </x:c>
      <x:c r="J16" s="6" t="n">
        <x:v>0</x:v>
      </x:c>
      <x:c r="K16" s="6" t="n">
        <x:v>-803</x:v>
      </x:c>
      <x:c r="L16" s="6" t="n">
        <x:v>803</x:v>
      </x:c>
      <x:c r="M16" s="6" t="n">
        <x:v>6.6895992692</x:v>
      </x:c>
      <x:c r="N16" s="6" t="n">
        <x:v>0</x:v>
      </x:c>
      <x:c r="O16" s="4" t="str">
        <x:v>Glioblastoma</x:v>
      </x:c>
      <x:c r="P16" s="6" t="n">
        <x:v>4</x:v>
      </x:c>
      <x:c r="Q16" s="8" t="n">
        <x:v>0.6796641266</x:v>
      </x:c>
      <x:c r="R16" s="6" t="n">
        <x:v>1</x:v>
      </x:c>
      <x:c r="S16" s="8" t="n">
        <x:v>0.5317031276</x:v>
      </x:c>
      <x:c r="T16" s="6" t="n">
        <x:v>1</x:v>
      </x:c>
      <x:c r="U16" s="8" t="n">
        <x:v>0.7516339869</x:v>
      </x:c>
      <x:c r="V16" s="6" t="n">
        <x:v>1</x:v>
      </x:c>
    </x:row>
    <x:row r="17" ht="28" customHeight="1">
      <x:c r="A17" s="4" t="str">
        <x:v>UCSD-PTGBM-0005_01</x:v>
      </x:c>
      <x:c r="B17" s="4" t="str">
        <x:v>UCSD-PTGBM-0005</x:v>
      </x:c>
      <x:c r="C17" s="4" t="str">
        <x:v>BraTS-GLI-02254-100</x:v>
      </x:c>
      <x:c r="D17" s="4" t="str">
        <x:v>BraTS-GLI-02254</x:v>
      </x:c>
      <x:c r="E17" s="4" t="str">
        <x:v>dualid:UCSD-PTGBM-0005</x:v>
      </x:c>
      <x:c r="F17" s="6" t="n">
        <x:v>1</x:v>
      </x:c>
      <x:c r="G17" s="4" t="str">
        <x:v>derived_from_published_243_equals_192_plus_51_partition</x:v>
      </x:c>
      <x:c r="H17" s="6" t="n">
        <x:v>55</x:v>
      </x:c>
      <x:c r="I17" s="6" t="n">
        <x:v>0</x:v>
      </x:c>
      <x:c r="J17" s="6" t="n">
        <x:v>0</x:v>
      </x:c>
      <x:c r="K17" s="6" t="n">
        <x:v>-29</x:v>
      </x:c>
      <x:c r="L17" s="6" t="n">
        <x:v>29</x:v>
      </x:c>
      <x:c r="M17" s="6" t="n">
        <x:v>3.4011973817</x:v>
      </x:c>
      <x:c r="N17" s="6" t="n">
        <x:v>0</x:v>
      </x:c>
      <x:c r="O17" s="4" t="str">
        <x:v>Glioblastoma</x:v>
      </x:c>
      <x:c r="P17" s="6" t="n">
        <x:v>5</x:v>
      </x:c>
      <x:c r="Q17" s="8" t="n">
        <x:v>0.7595434223</x:v>
      </x:c>
      <x:c r="R17" s="6" t="n">
        <x:v>1</x:v>
      </x:c>
      <x:c r="S17" s="8" t="n">
        <x:v>0.8857484592</x:v>
      </x:c>
      <x:c r="T17" s="6" t="n">
        <x:v>1</x:v>
      </x:c>
      <x:c r="U17" s="8" t="n">
        <x:v>0.7516339869</x:v>
      </x:c>
      <x:c r="V17" s="6" t="n">
        <x:v>1</x:v>
      </x:c>
    </x:row>
    <x:row r="18" ht="28" customHeight="1">
      <x:c r="A18" s="4" t="str">
        <x:v>UCSD-PTGBM-0005_02</x:v>
      </x:c>
      <x:c r="B18" s="4" t="str">
        <x:v>UCSD-PTGBM-0005</x:v>
      </x:c>
      <x:c r="C18" s="4" t="str">
        <x:v>BraTS-GLI-02254-101</x:v>
      </x:c>
      <x:c r="D18" s="4" t="str">
        <x:v>BraTS-GLI-02254</x:v>
      </x:c>
      <x:c r="E18" s="4" t="str">
        <x:v>dualid:UCSD-PTGBM-0005</x:v>
      </x:c>
      <x:c r="F18" s="6" t="n">
        <x:v>0</x:v>
      </x:c>
      <x:c r="G18" s="4" t="str">
        <x:v>explicit_negative_case_list</x:v>
      </x:c>
      <x:c r="H18" s="6" t="n">
        <x:v>55</x:v>
      </x:c>
      <x:c r="I18" s="6" t="n">
        <x:v>0</x:v>
      </x:c>
      <x:c r="J18" s="6" t="n">
        <x:v>1</x:v>
      </x:c>
      <x:c r="K18" s="6" t="n">
        <x:v>-341</x:v>
      </x:c>
      <x:c r="L18" s="6" t="n">
        <x:v>341</x:v>
      </x:c>
      <x:c r="M18" s="6" t="n">
        <x:v>5.8348107371</x:v>
      </x:c>
      <x:c r="N18" s="6" t="n">
        <x:v>0</x:v>
      </x:c>
      <x:c r="O18" s="4" t="str">
        <x:v>Glioblastoma</x:v>
      </x:c>
      <x:c r="P18" s="6" t="n">
        <x:v>5</x:v>
      </x:c>
      <x:c r="Q18" s="8" t="n">
        <x:v>0.7595434223</x:v>
      </x:c>
      <x:c r="R18" s="6" t="n">
        <x:v>1</x:v>
      </x:c>
      <x:c r="S18" s="8" t="n">
        <x:v>0.8141359831</x:v>
      </x:c>
      <x:c r="T18" s="6" t="n">
        <x:v>1</x:v>
      </x:c>
      <x:c r="U18" s="8" t="n">
        <x:v>0.7516339869</x:v>
      </x:c>
      <x:c r="V18" s="6" t="n">
        <x:v>1</x:v>
      </x:c>
    </x:row>
    <x:row r="19" ht="28" customHeight="1">
      <x:c r="A19" s="4" t="str">
        <x:v>UCSD-PTGBM-0006_01</x:v>
      </x:c>
      <x:c r="B19" s="4" t="str">
        <x:v>UCSD-PTGBM-0006</x:v>
      </x:c>
      <x:c r="C19" s="4" t="str">
        <x:v>BraTS-GLI-02255-100</x:v>
      </x:c>
      <x:c r="D19" s="4" t="str">
        <x:v>BraTS-GLI-02255</x:v>
      </x:c>
      <x:c r="E19" s="4" t="str">
        <x:v>dualid:UCSD-PTGBM-0006</x:v>
      </x:c>
      <x:c r="F19" s="6" t="n">
        <x:v>1</x:v>
      </x:c>
      <x:c r="G19" s="4" t="str">
        <x:v>derived_from_published_243_equals_192_plus_51_partition</x:v>
      </x:c>
      <x:c r="H19" s="6" t="n">
        <x:v>54</x:v>
      </x:c>
      <x:c r="I19" s="6" t="n">
        <x:v>1</x:v>
      </x:c>
      <x:c r="J19" s="6" t="n">
        <x:v>0</x:v>
      </x:c>
      <x:c r="K19" s="6" t="n">
        <x:v>-105</x:v>
      </x:c>
      <x:c r="L19" s="6" t="n">
        <x:v>105</x:v>
      </x:c>
      <x:c r="M19" s="6" t="n">
        <x:v>4.6634390941</x:v>
      </x:c>
      <x:c r="N19" s="6" t="n">
        <x:v>0</x:v>
      </x:c>
      <x:c r="O19" s="4" t="str">
        <x:v>Glioblastoma</x:v>
      </x:c>
      <x:c r="P19" s="6" t="n">
        <x:v>1</x:v>
      </x:c>
      <x:c r="Q19" s="8" t="n">
        <x:v>0.7569732031</x:v>
      </x:c>
      <x:c r="R19" s="6" t="n">
        <x:v>1</x:v>
      </x:c>
      <x:c r="S19" s="8" t="n">
        <x:v>0.7651459608</x:v>
      </x:c>
      <x:c r="T19" s="6" t="n">
        <x:v>1</x:v>
      </x:c>
      <x:c r="U19" s="8" t="n">
        <x:v>0.7597402597</x:v>
      </x:c>
      <x:c r="V19" s="6" t="n">
        <x:v>1</x:v>
      </x:c>
    </x:row>
    <x:row r="20" ht="28" customHeight="1">
      <x:c r="A20" s="4" t="str">
        <x:v>UCSD-PTGBM-0007_01</x:v>
      </x:c>
      <x:c r="B20" s="4" t="str">
        <x:v>UCSD-PTGBM-0007</x:v>
      </x:c>
      <x:c r="C20" s="4" t="str">
        <x:v>BraTS-GLI-02256-100</x:v>
      </x:c>
      <x:c r="D20" s="4" t="str">
        <x:v>BraTS-GLI-02256</x:v>
      </x:c>
      <x:c r="E20" s="4" t="str">
        <x:v>dualid:UCSD-PTGBM-0007</x:v>
      </x:c>
      <x:c r="F20" s="6" t="n">
        <x:v>1</x:v>
      </x:c>
      <x:c r="G20" s="4" t="str">
        <x:v>derived_from_published_243_equals_192_plus_51_partition</x:v>
      </x:c>
      <x:c r="H20" s="6" t="n">
        <x:v>61</x:v>
      </x:c>
      <x:c r="I20" s="6" t="n">
        <x:v>0</x:v>
      </x:c>
      <x:c r="J20" s="6" t="n">
        <x:v>0</x:v>
      </x:c>
      <x:c r="K20" s="6" t="n">
        <x:v>-25</x:v>
      </x:c>
      <x:c r="L20" s="6" t="n">
        <x:v>25</x:v>
      </x:c>
      <x:c r="M20" s="6" t="n">
        <x:v>3.258096538</x:v>
      </x:c>
      <x:c r="N20" s="6" t="n">
        <x:v>0</x:v>
      </x:c>
      <x:c r="O20" s="4" t="str">
        <x:v>Glioblastoma</x:v>
      </x:c>
      <x:c r="P20" s="6" t="n">
        <x:v>1</x:v>
      </x:c>
      <x:c r="Q20" s="8" t="n">
        <x:v>0.792273563</x:v>
      </x:c>
      <x:c r="R20" s="6" t="n">
        <x:v>1</x:v>
      </x:c>
      <x:c r="S20" s="8" t="n">
        <x:v>0.8965411796</x:v>
      </x:c>
      <x:c r="T20" s="6" t="n">
        <x:v>1</x:v>
      </x:c>
      <x:c r="U20" s="8" t="n">
        <x:v>0.7597402597</x:v>
      </x:c>
      <x:c r="V20" s="6" t="n">
        <x:v>1</x:v>
      </x:c>
    </x:row>
    <x:row r="21" ht="28" customHeight="1">
      <x:c r="A21" s="4" t="str">
        <x:v>UCSD-PTGBM-0007_02</x:v>
      </x:c>
      <x:c r="B21" s="4" t="str">
        <x:v>UCSD-PTGBM-0007</x:v>
      </x:c>
      <x:c r="C21" s="4" t="str">
        <x:v>BraTS-GLI-02256-101</x:v>
      </x:c>
      <x:c r="D21" s="4" t="str">
        <x:v>BraTS-GLI-02256</x:v>
      </x:c>
      <x:c r="E21" s="4" t="str">
        <x:v>dualid:UCSD-PTGBM-0007</x:v>
      </x:c>
      <x:c r="F21" s="6" t="n">
        <x:v>1</x:v>
      </x:c>
      <x:c r="G21" s="4" t="str">
        <x:v>derived_from_published_243_equals_192_plus_51_partition</x:v>
      </x:c>
      <x:c r="H21" s="6" t="n">
        <x:v>61</x:v>
      </x:c>
      <x:c r="I21" s="6" t="n">
        <x:v>0</x:v>
      </x:c>
      <x:c r="J21" s="6" t="n">
        <x:v>0</x:v>
      </x:c>
      <x:c r="K21" s="6" t="n">
        <x:v>-108</x:v>
      </x:c>
      <x:c r="L21" s="6" t="n">
        <x:v>108</x:v>
      </x:c>
      <x:c r="M21" s="6" t="n">
        <x:v>4.6913478822</x:v>
      </x:c>
      <x:c r="N21" s="6" t="n">
        <x:v>0</x:v>
      </x:c>
      <x:c r="O21" s="4" t="str">
        <x:v>Glioblastoma</x:v>
      </x:c>
      <x:c r="P21" s="6" t="n">
        <x:v>1</x:v>
      </x:c>
      <x:c r="Q21" s="8" t="n">
        <x:v>0.792273563</x:v>
      </x:c>
      <x:c r="R21" s="6" t="n">
        <x:v>1</x:v>
      </x:c>
      <x:c r="S21" s="8" t="n">
        <x:v>0.8178332354</x:v>
      </x:c>
      <x:c r="T21" s="6" t="n">
        <x:v>1</x:v>
      </x:c>
      <x:c r="U21" s="8" t="n">
        <x:v>0.7597402597</x:v>
      </x:c>
      <x:c r="V21" s="6" t="n">
        <x:v>1</x:v>
      </x:c>
    </x:row>
    <x:row r="22" ht="28" customHeight="1">
      <x:c r="A22" s="4" t="str">
        <x:v>UCSD-PTGBM-0008_01</x:v>
      </x:c>
      <x:c r="B22" s="4" t="str">
        <x:v>UCSD-PTGBM-0008</x:v>
      </x:c>
      <x:c r="C22" s="4" t="str">
        <x:v>BraTS-GLI-02257-100</x:v>
      </x:c>
      <x:c r="D22" s="4" t="str">
        <x:v>BraTS-GLI-02257</x:v>
      </x:c>
      <x:c r="E22" s="4" t="str">
        <x:v>dualid:UCSD-PTGBM-0008</x:v>
      </x:c>
      <x:c r="F22" s="6" t="n">
        <x:v>1</x:v>
      </x:c>
      <x:c r="G22" s="4" t="str">
        <x:v>derived_from_published_243_equals_192_plus_51_partition</x:v>
      </x:c>
      <x:c r="H22" s="6" t="n">
        <x:v>60</x:v>
      </x:c>
      <x:c r="I22" s="6" t="n">
        <x:v>1</x:v>
      </x:c>
      <x:c r="J22" s="6" t="n">
        <x:v>0</x:v>
      </x:c>
      <x:c r="K22" s="6" t="n">
        <x:v>-42</x:v>
      </x:c>
      <x:c r="L22" s="6" t="n">
        <x:v>42</x:v>
      </x:c>
      <x:c r="M22" s="6" t="n">
        <x:v>3.7612001157</x:v>
      </x:c>
      <x:c r="N22" s="6" t="n">
        <x:v>0</x:v>
      </x:c>
      <x:c r="O22" s="4" t="str">
        <x:v>Glioblastoma</x:v>
      </x:c>
      <x:c r="P22" s="6" t="n">
        <x:v>5</x:v>
      </x:c>
      <x:c r="Q22" s="8" t="n">
        <x:v>0.7870252517</x:v>
      </x:c>
      <x:c r="R22" s="6" t="n">
        <x:v>1</x:v>
      </x:c>
      <x:c r="S22" s="8" t="n">
        <x:v>0.8446945967</x:v>
      </x:c>
      <x:c r="T22" s="6" t="n">
        <x:v>1</x:v>
      </x:c>
      <x:c r="U22" s="8" t="n">
        <x:v>0.7516339869</x:v>
      </x:c>
      <x:c r="V22" s="6" t="n">
        <x:v>1</x:v>
      </x:c>
    </x:row>
    <x:row r="23" ht="28" customHeight="1">
      <x:c r="A23" s="4" t="str">
        <x:v>UCSD-PTGBM-0008_02</x:v>
      </x:c>
      <x:c r="B23" s="4" t="str">
        <x:v>UCSD-PTGBM-0008</x:v>
      </x:c>
      <x:c r="C23" s="4" t="str">
        <x:v>BraTS-GLI-02257-101</x:v>
      </x:c>
      <x:c r="D23" s="4" t="str">
        <x:v>BraTS-GLI-02257</x:v>
      </x:c>
      <x:c r="E23" s="4" t="str">
        <x:v>dualid:UCSD-PTGBM-0008</x:v>
      </x:c>
      <x:c r="F23" s="6" t="n">
        <x:v>0</x:v>
      </x:c>
      <x:c r="G23" s="4" t="str">
        <x:v>explicit_negative_case_list</x:v>
      </x:c>
      <x:c r="H23" s="6" t="n">
        <x:v>60</x:v>
      </x:c>
      <x:c r="I23" s="6" t="n">
        <x:v>1</x:v>
      </x:c>
      <x:c r="J23" s="6" t="n">
        <x:v>0</x:v>
      </x:c>
      <x:c r="K23" s="6" t="n">
        <x:v>-95</x:v>
      </x:c>
      <x:c r="L23" s="6" t="n">
        <x:v>95</x:v>
      </x:c>
      <x:c r="M23" s="6" t="n">
        <x:v>4.5643481915</x:v>
      </x:c>
      <x:c r="N23" s="6" t="n">
        <x:v>0</x:v>
      </x:c>
      <x:c r="O23" s="4" t="str">
        <x:v>Glioblastoma</x:v>
      </x:c>
      <x:c r="P23" s="6" t="n">
        <x:v>5</x:v>
      </x:c>
      <x:c r="Q23" s="8" t="n">
        <x:v>0.7870252517</x:v>
      </x:c>
      <x:c r="R23" s="6" t="n">
        <x:v>1</x:v>
      </x:c>
      <x:c r="S23" s="8" t="n">
        <x:v>0.7809066107</x:v>
      </x:c>
      <x:c r="T23" s="6" t="n">
        <x:v>1</x:v>
      </x:c>
      <x:c r="U23" s="8" t="n">
        <x:v>0.7516339869</x:v>
      </x:c>
      <x:c r="V23" s="6" t="n">
        <x:v>1</x:v>
      </x:c>
    </x:row>
    <x:row r="24" ht="28" customHeight="1">
      <x:c r="A24" s="4" t="str">
        <x:v>UCSD-PTGBM-0008_03</x:v>
      </x:c>
      <x:c r="B24" s="4" t="str">
        <x:v>UCSD-PTGBM-0008</x:v>
      </x:c>
      <x:c r="C24" s="4" t="str">
        <x:v>BraTS-GLI-02257-102</x:v>
      </x:c>
      <x:c r="D24" s="4" t="str">
        <x:v>BraTS-GLI-02257</x:v>
      </x:c>
      <x:c r="E24" s="4" t="str">
        <x:v>dualid:UCSD-PTGBM-0008</x:v>
      </x:c>
      <x:c r="F24" s="6" t="n">
        <x:v>0</x:v>
      </x:c>
      <x:c r="G24" s="4" t="str">
        <x:v>explicit_negative_case_list</x:v>
      </x:c>
      <x:c r="H24" s="6" t="n">
        <x:v>60</x:v>
      </x:c>
      <x:c r="I24" s="6" t="n">
        <x:v>1</x:v>
      </x:c>
      <x:c r="J24" s="6" t="n">
        <x:v>0</x:v>
      </x:c>
      <x:c r="K24" s="6" t="n">
        <x:v>-208</x:v>
      </x:c>
      <x:c r="L24" s="6" t="n">
        <x:v>208</x:v>
      </x:c>
      <x:c r="M24" s="6" t="n">
        <x:v>5.342334252</x:v>
      </x:c>
      <x:c r="N24" s="6" t="n">
        <x:v>0</x:v>
      </x:c>
      <x:c r="O24" s="4" t="str">
        <x:v>Glioblastoma</x:v>
      </x:c>
      <x:c r="P24" s="6" t="n">
        <x:v>5</x:v>
      </x:c>
      <x:c r="Q24" s="8" t="n">
        <x:v>0.7870252517</x:v>
      </x:c>
      <x:c r="R24" s="6" t="n">
        <x:v>1</x:v>
      </x:c>
      <x:c r="S24" s="8" t="n">
        <x:v>0.7029893736</x:v>
      </x:c>
      <x:c r="T24" s="6" t="n">
        <x:v>1</x:v>
      </x:c>
      <x:c r="U24" s="8" t="n">
        <x:v>0.7516339869</x:v>
      </x:c>
      <x:c r="V24" s="6" t="n">
        <x:v>1</x:v>
      </x:c>
    </x:row>
    <x:row r="25" ht="28" customHeight="1">
      <x:c r="A25" s="4" t="str">
        <x:v>UCSD-PTGBM-0009_01</x:v>
      </x:c>
      <x:c r="B25" s="4" t="str">
        <x:v>UCSD-PTGBM-0009</x:v>
      </x:c>
      <x:c r="C25" s="4" t="str">
        <x:v>BraTS-GLI-02258-100</x:v>
      </x:c>
      <x:c r="D25" s="4" t="str">
        <x:v>BraTS-GLI-02258</x:v>
      </x:c>
      <x:c r="E25" s="4" t="str">
        <x:v>dualid:UCSD-PTGBM-0009</x:v>
      </x:c>
      <x:c r="F25" s="6" t="n">
        <x:v>1</x:v>
      </x:c>
      <x:c r="G25" s="4" t="str">
        <x:v>derived_from_published_243_equals_192_plus_51_partition</x:v>
      </x:c>
      <x:c r="H25" s="6" t="n">
        <x:v>61</x:v>
      </x:c>
      <x:c r="I25" s="6" t="n">
        <x:v>1</x:v>
      </x:c>
      <x:c r="J25" s="6" t="n">
        <x:v>0</x:v>
      </x:c>
      <x:c r="K25" s="6" t="n">
        <x:v>-26</x:v>
      </x:c>
      <x:c r="L25" s="6" t="n">
        <x:v>26</x:v>
      </x:c>
      <x:c r="M25" s="6" t="n">
        <x:v>3.295836866</x:v>
      </x:c>
      <x:c r="N25" s="6" t="n">
        <x:v>0</x:v>
      </x:c>
      <x:c r="O25" s="4" t="str">
        <x:v>Glioblastoma</x:v>
      </x:c>
      <x:c r="P25" s="6" t="n">
        <x:v>4</x:v>
      </x:c>
      <x:c r="Q25" s="8" t="n">
        <x:v>0.8004846093</x:v>
      </x:c>
      <x:c r="R25" s="6" t="n">
        <x:v>1</x:v>
      </x:c>
      <x:c r="S25" s="8" t="n">
        <x:v>0.8967046976</x:v>
      </x:c>
      <x:c r="T25" s="6" t="n">
        <x:v>1</x:v>
      </x:c>
      <x:c r="U25" s="8" t="n">
        <x:v>0.7516339869</x:v>
      </x:c>
      <x:c r="V25" s="6" t="n">
        <x:v>1</x:v>
      </x:c>
    </x:row>
    <x:row r="26" ht="28" customHeight="1">
      <x:c r="A26" s="4" t="str">
        <x:v>UCSD-PTGBM-0010_01</x:v>
      </x:c>
      <x:c r="B26" s="4" t="str">
        <x:v>UCSD-PTGBM-0010</x:v>
      </x:c>
      <x:c r="C26" s="4" t="str">
        <x:v>BraTS-GLI-02259-100</x:v>
      </x:c>
      <x:c r="D26" s="4" t="str">
        <x:v>BraTS-GLI-02259</x:v>
      </x:c>
      <x:c r="E26" s="4" t="str">
        <x:v>dualid:UCSD-PTGBM-0010</x:v>
      </x:c>
      <x:c r="F26" s="6" t="n">
        <x:v>0</x:v>
      </x:c>
      <x:c r="G26" s="4" t="str">
        <x:v>explicit_negative_case_list</x:v>
      </x:c>
      <x:c r="H26" s="6" t="n">
        <x:v>73</x:v>
      </x:c>
      <x:c r="I26" s="6" t="n">
        <x:v>1</x:v>
      </x:c>
      <x:c r="J26" s="6" t="n">
        <x:v>0</x:v>
      </x:c>
      <x:c r="K26" s="6" t="n">
        <x:v>-199</x:v>
      </x:c>
      <x:c r="L26" s="6" t="n">
        <x:v>199</x:v>
      </x:c>
      <x:c r="M26" s="6" t="n">
        <x:v>5.2983173666</x:v>
      </x:c>
      <x:c r="N26" s="6" t="n">
        <x:v>0</x:v>
      </x:c>
      <x:c r="O26" s="4" t="str">
        <x:v>Glioblastoma</x:v>
      </x:c>
      <x:c r="P26" s="6" t="n">
        <x:v>2</x:v>
      </x:c>
      <x:c r="Q26" s="8" t="n">
        <x:v>0.8505196561</x:v>
      </x:c>
      <x:c r="R26" s="6" t="n">
        <x:v>1</x:v>
      </x:c>
      <x:c r="S26" s="8" t="n">
        <x:v>0.7992653491</x:v>
      </x:c>
      <x:c r="T26" s="6" t="n">
        <x:v>1</x:v>
      </x:c>
      <x:c r="U26" s="8" t="n">
        <x:v>0.7581699346</x:v>
      </x:c>
      <x:c r="V26" s="6" t="n">
        <x:v>1</x:v>
      </x:c>
    </x:row>
    <x:row r="27" ht="28" customHeight="1">
      <x:c r="A27" s="4" t="str">
        <x:v>UCSD-PTGBM-0011_01</x:v>
      </x:c>
      <x:c r="B27" s="4" t="str">
        <x:v>UCSD-PTGBM-0011</x:v>
      </x:c>
      <x:c r="C27" s="4" t="str">
        <x:v>BraTS-GLI-02260-100</x:v>
      </x:c>
      <x:c r="D27" s="4" t="str">
        <x:v>BraTS-GLI-02260</x:v>
      </x:c>
      <x:c r="E27" s="4" t="str">
        <x:v>dualid:UCSD-PTGBM-0011</x:v>
      </x:c>
      <x:c r="F27" s="6" t="n">
        <x:v>0</x:v>
      </x:c>
      <x:c r="G27" s="4" t="str">
        <x:v>explicit_negative_case_list</x:v>
      </x:c>
      <x:c r="H27" s="6" t="n">
        <x:v>54</x:v>
      </x:c>
      <x:c r="I27" s="6" t="n">
        <x:v>0</x:v>
      </x:c>
      <x:c r="J27" s="6" t="n">
        <x:v>0</x:v>
      </x:c>
      <x:c r="K27" s="6" t="n">
        <x:v>-801</x:v>
      </x:c>
      <x:c r="L27" s="6" t="n">
        <x:v>801</x:v>
      </x:c>
      <x:c r="M27" s="6" t="n">
        <x:v>6.6871086079</x:v>
      </x:c>
      <x:c r="N27" s="6" t="n">
        <x:v>0</x:v>
      </x:c>
      <x:c r="O27" s="4" t="str">
        <x:v>Anaplastic Astrocytoma</x:v>
      </x:c>
      <x:c r="P27" s="6" t="n">
        <x:v>4</x:v>
      </x:c>
      <x:c r="Q27" s="8" t="n">
        <x:v>0.7251314146</x:v>
      </x:c>
      <x:c r="R27" s="6" t="n">
        <x:v>1</x:v>
      </x:c>
      <x:c r="S27" s="8" t="n">
        <x:v>0.5514165326</x:v>
      </x:c>
      <x:c r="T27" s="6" t="n">
        <x:v>1</x:v>
      </x:c>
      <x:c r="U27" s="8" t="n">
        <x:v>0.7516339869</x:v>
      </x:c>
      <x:c r="V27" s="6" t="n">
        <x:v>1</x:v>
      </x:c>
    </x:row>
    <x:row r="28" ht="28" customHeight="1">
      <x:c r="A28" s="4" t="str">
        <x:v>UCSD-PTGBM-0012_01</x:v>
      </x:c>
      <x:c r="B28" s="4" t="str">
        <x:v>UCSD-PTGBM-0012</x:v>
      </x:c>
      <x:c r="C28" s="4" t="str">
        <x:v>BraTS-GLI-02261-100</x:v>
      </x:c>
      <x:c r="D28" s="4" t="str">
        <x:v>BraTS-GLI-02261</x:v>
      </x:c>
      <x:c r="E28" s="4" t="str">
        <x:v>dualid:UCSD-PTGBM-0012</x:v>
      </x:c>
      <x:c r="F28" s="6" t="n">
        <x:v>0</x:v>
      </x:c>
      <x:c r="G28" s="4" t="str">
        <x:v>explicit_negative_case_list</x:v>
      </x:c>
      <x:c r="H28" s="6" t="n">
        <x:v>55</x:v>
      </x:c>
      <x:c r="I28" s="6" t="n">
        <x:v>1</x:v>
      </x:c>
      <x:c r="J28" s="6" t="n">
        <x:v>0</x:v>
      </x:c>
      <x:c r="K28" s="6" t="n">
        <x:v>-1109</x:v>
      </x:c>
      <x:c r="L28" s="6" t="n">
        <x:v>1109</x:v>
      </x:c>
      <x:c r="M28" s="6" t="n">
        <x:v>7.0121152943</x:v>
      </x:c>
      <x:c r="N28" s="6" t="n">
        <x:v>0</x:v>
      </x:c>
      <x:c r="O28" s="4" t="str">
        <x:v>Glioblastoma</x:v>
      </x:c>
      <x:c r="P28" s="6" t="n">
        <x:v>5</x:v>
      </x:c>
      <x:c r="Q28" s="8" t="n">
        <x:v>0.7629259145</x:v>
      </x:c>
      <x:c r="R28" s="6" t="n">
        <x:v>1</x:v>
      </x:c>
      <x:c r="S28" s="8" t="n">
        <x:v>0.477454975</x:v>
      </x:c>
      <x:c r="T28" s="6" t="n">
        <x:v>0</x:v>
      </x:c>
      <x:c r="U28" s="8" t="n">
        <x:v>0.7516339869</x:v>
      </x:c>
      <x:c r="V28" s="6" t="n">
        <x:v>1</x:v>
      </x:c>
    </x:row>
    <x:row r="29" ht="28" customHeight="1">
      <x:c r="A29" s="4" t="str">
        <x:v>UCSD-PTGBM-0013_01</x:v>
      </x:c>
      <x:c r="B29" s="4" t="str">
        <x:v>UCSD-PTGBM-0013</x:v>
      </x:c>
      <x:c r="C29" s="4" t="str">
        <x:v>BraTS-GLI-02262-100</x:v>
      </x:c>
      <x:c r="D29" s="4" t="str">
        <x:v>BraTS-GLI-02262</x:v>
      </x:c>
      <x:c r="E29" s="4" t="str">
        <x:v>dualid:UCSD-PTGBM-0013</x:v>
      </x:c>
      <x:c r="F29" s="6" t="n">
        <x:v>1</x:v>
      </x:c>
      <x:c r="G29" s="4" t="str">
        <x:v>derived_from_published_243_equals_192_plus_51_partition</x:v>
      </x:c>
      <x:c r="H29" s="6" t="n">
        <x:v>60</x:v>
      </x:c>
      <x:c r="I29" s="6" t="n">
        <x:v>1</x:v>
      </x:c>
      <x:c r="J29" s="6" t="n">
        <x:v>1</x:v>
      </x:c>
      <x:c r="K29" s="6" t="n">
        <x:v>-173</x:v>
      </x:c>
      <x:c r="L29" s="6" t="n">
        <x:v>173</x:v>
      </x:c>
      <x:c r="M29" s="6" t="n">
        <x:v>5.1590552992</x:v>
      </x:c>
      <x:c r="N29" s="6" t="n">
        <x:v>0</x:v>
      </x:c>
      <x:c r="O29" s="4" t="str">
        <x:v>Glioblastoma</x:v>
      </x:c>
      <x:c r="P29" s="6" t="n">
        <x:v>2</x:v>
      </x:c>
      <x:c r="Q29" s="8" t="n">
        <x:v>0.8104998583</x:v>
      </x:c>
      <x:c r="R29" s="6" t="n">
        <x:v>1</x:v>
      </x:c>
      <x:c r="S29" s="8" t="n">
        <x:v>0.8772596694</x:v>
      </x:c>
      <x:c r="T29" s="6" t="n">
        <x:v>1</x:v>
      </x:c>
      <x:c r="U29" s="8" t="n">
        <x:v>0.7581699346</x:v>
      </x:c>
      <x:c r="V29" s="6" t="n">
        <x:v>1</x:v>
      </x:c>
    </x:row>
    <x:row r="30" ht="28" customHeight="1">
      <x:c r="A30" s="4" t="str">
        <x:v>UCSD-PTGBM-0014_01</x:v>
      </x:c>
      <x:c r="B30" s="4" t="str">
        <x:v>UCSD-PTGBM-0014</x:v>
      </x:c>
      <x:c r="C30" s="4" t="str">
        <x:v>BraTS-GLI-02263-100</x:v>
      </x:c>
      <x:c r="D30" s="4" t="str">
        <x:v>BraTS-GLI-02263</x:v>
      </x:c>
      <x:c r="E30" s="4" t="str">
        <x:v>dualid:UCSD-PTGBM-0014</x:v>
      </x:c>
      <x:c r="F30" s="6" t="n">
        <x:v>0</x:v>
      </x:c>
      <x:c r="G30" s="4" t="str">
        <x:v>explicit_negative_case_list</x:v>
      </x:c>
      <x:c r="H30" s="6" t="n">
        <x:v>50</x:v>
      </x:c>
      <x:c r="I30" s="6" t="n">
        <x:v>1</x:v>
      </x:c>
      <x:c r="J30" s="6" t="n">
        <x:v>0</x:v>
      </x:c>
      <x:c r="K30" s="6" t="n">
        <x:v>-272</x:v>
      </x:c>
      <x:c r="L30" s="6" t="n">
        <x:v>272</x:v>
      </x:c>
      <x:c r="M30" s="6" t="n">
        <x:v>5.6094717952</x:v>
      </x:c>
      <x:c r="N30" s="6" t="n">
        <x:v>0</x:v>
      </x:c>
      <x:c r="O30" s="4" t="str">
        <x:v>Glioblastoma</x:v>
      </x:c>
      <x:c r="P30" s="6" t="n">
        <x:v>5</x:v>
      </x:c>
      <x:c r="Q30" s="8" t="n">
        <x:v>0.7370108335</x:v>
      </x:c>
      <x:c r="R30" s="6" t="n">
        <x:v>1</x:v>
      </x:c>
      <x:c r="S30" s="8" t="n">
        <x:v>0.6398429235</x:v>
      </x:c>
      <x:c r="T30" s="6" t="n">
        <x:v>1</x:v>
      </x:c>
      <x:c r="U30" s="8" t="n">
        <x:v>0.7516339869</x:v>
      </x:c>
      <x:c r="V30" s="6" t="n">
        <x:v>1</x:v>
      </x:c>
    </x:row>
    <x:row r="31" ht="28" customHeight="1">
      <x:c r="A31" s="4" t="str">
        <x:v>UCSD-PTGBM-0015_01</x:v>
      </x:c>
      <x:c r="B31" s="4" t="str">
        <x:v>UCSD-PTGBM-0015</x:v>
      </x:c>
      <x:c r="C31" s="4" t="str">
        <x:v>BraTS-GLI-02264-100</x:v>
      </x:c>
      <x:c r="D31" s="4" t="str">
        <x:v>BraTS-GLI-02264</x:v>
      </x:c>
      <x:c r="E31" s="4" t="str">
        <x:v>dualid:UCSD-PTGBM-0015</x:v>
      </x:c>
      <x:c r="F31" s="6" t="n">
        <x:v>0</x:v>
      </x:c>
      <x:c r="G31" s="4" t="str">
        <x:v>explicit_negative_case_list</x:v>
      </x:c>
      <x:c r="H31" s="6" t="n">
        <x:v>45</x:v>
      </x:c>
      <x:c r="I31" s="6" t="n">
        <x:v>0</x:v>
      </x:c>
      <x:c r="J31" s="6" t="n">
        <x:v>1</x:v>
      </x:c>
      <x:c r="K31" s="6" t="n">
        <x:v>-608</x:v>
      </x:c>
      <x:c r="L31" s="6" t="n">
        <x:v>608</x:v>
      </x:c>
      <x:c r="M31" s="6" t="n">
        <x:v>6.4118182677</x:v>
      </x:c>
      <x:c r="N31" s="6" t="n">
        <x:v>0</x:v>
      </x:c>
      <x:c r="O31" s="4" t="str">
        <x:v>Glioblastoma</x:v>
      </x:c>
      <x:c r="P31" s="6" t="n">
        <x:v>1</x:v>
      </x:c>
      <x:c r="Q31" s="8" t="n">
        <x:v>0.7265669288</x:v>
      </x:c>
      <x:c r="R31" s="6" t="n">
        <x:v>1</x:v>
      </x:c>
      <x:c r="S31" s="8" t="n">
        <x:v>0.7229934638</x:v>
      </x:c>
      <x:c r="T31" s="6" t="n">
        <x:v>1</x:v>
      </x:c>
      <x:c r="U31" s="8" t="n">
        <x:v>0.7597402597</x:v>
      </x:c>
      <x:c r="V31" s="6" t="n">
        <x:v>1</x:v>
      </x:c>
    </x:row>
    <x:row r="32" ht="28" customHeight="1">
      <x:c r="A32" s="4" t="str">
        <x:v>UCSD-PTGBM-0016_01</x:v>
      </x:c>
      <x:c r="B32" s="4" t="str">
        <x:v>UCSD-PTGBM-0016</x:v>
      </x:c>
      <x:c r="C32" s="4" t="str">
        <x:v>BraTS-GLI-02265-100</x:v>
      </x:c>
      <x:c r="D32" s="4" t="str">
        <x:v>BraTS-GLI-02265</x:v>
      </x:c>
      <x:c r="E32" s="4" t="str">
        <x:v>dualid:UCSD-PTGBM-0016</x:v>
      </x:c>
      <x:c r="F32" s="6" t="n">
        <x:v>0</x:v>
      </x:c>
      <x:c r="G32" s="4" t="str">
        <x:v>explicit_negative_case_list</x:v>
      </x:c>
      <x:c r="H32" s="6" t="n">
        <x:v>29</x:v>
      </x:c>
      <x:c r="I32" s="6" t="n">
        <x:v>0</x:v>
      </x:c>
      <x:c r="J32" s="6" t="n">
        <x:v>1</x:v>
      </x:c>
      <x:c r="K32" s="6" t="n">
        <x:v>-749</x:v>
      </x:c>
      <x:c r="L32" s="6" t="n">
        <x:v>749</x:v>
      </x:c>
      <x:c r="M32" s="6" t="n">
        <x:v>6.6200732065</x:v>
      </x:c>
      <x:c r="N32" s="6" t="n">
        <x:v>0</x:v>
      </x:c>
      <x:c r="O32" s="4" t="str">
        <x:v>Glioblastoma</x:v>
      </x:c>
      <x:c r="P32" s="6" t="n">
        <x:v>2</x:v>
      </x:c>
      <x:c r="Q32" s="8" t="n">
        <x:v>0.5506195817</x:v>
      </x:c>
      <x:c r="R32" s="6" t="n">
        <x:v>1</x:v>
      </x:c>
      <x:c r="S32" s="8" t="n">
        <x:v>0.6461735161</x:v>
      </x:c>
      <x:c r="T32" s="6" t="n">
        <x:v>1</x:v>
      </x:c>
      <x:c r="U32" s="8" t="n">
        <x:v>0.7581699346</x:v>
      </x:c>
      <x:c r="V32" s="6" t="n">
        <x:v>1</x:v>
      </x:c>
    </x:row>
    <x:row r="33" ht="28" customHeight="1">
      <x:c r="A33" s="4" t="str">
        <x:v>UCSD-PTGBM-0017_01</x:v>
      </x:c>
      <x:c r="B33" s="4" t="str">
        <x:v>UCSD-PTGBM-0017</x:v>
      </x:c>
      <x:c r="C33" s="4" t="str">
        <x:v>BraTS-GLI-02267-100</x:v>
      </x:c>
      <x:c r="D33" s="4" t="str">
        <x:v>BraTS-GLI-02267</x:v>
      </x:c>
      <x:c r="E33" s="4" t="str">
        <x:v>dualid:UCSD-PTGBM-0017</x:v>
      </x:c>
      <x:c r="F33" s="6" t="n">
        <x:v>0</x:v>
      </x:c>
      <x:c r="G33" s="4" t="str">
        <x:v>explicit_negative_case_list</x:v>
      </x:c>
      <x:c r="H33" s="6" t="n">
        <x:v>27</x:v>
      </x:c>
      <x:c r="I33" s="6" t="n">
        <x:v>1</x:v>
      </x:c>
      <x:c r="J33" s="6" t="n">
        <x:v>0</x:v>
      </x:c>
      <x:c r="K33" s="6" t="n">
        <x:v>-314</x:v>
      </x:c>
      <x:c r="L33" s="6" t="n">
        <x:v>314</x:v>
      </x:c>
      <x:c r="M33" s="6" t="n">
        <x:v>5.7525726388</x:v>
      </x:c>
      <x:c r="N33" s="6" t="n">
        <x:v>0</x:v>
      </x:c>
      <x:c r="O33" s="4" t="str">
        <x:v>Glioblastoma</x:v>
      </x:c>
      <x:c r="P33" s="6" t="n">
        <x:v>1</x:v>
      </x:c>
      <x:c r="Q33" s="8" t="n">
        <x:v>0.6286139116</x:v>
      </x:c>
      <x:c r="R33" s="6" t="n">
        <x:v>1</x:v>
      </x:c>
      <x:c r="S33" s="8" t="n">
        <x:v>0.5896258995</x:v>
      </x:c>
      <x:c r="T33" s="6" t="n">
        <x:v>1</x:v>
      </x:c>
      <x:c r="U33" s="8" t="n">
        <x:v>0.7597402597</x:v>
      </x:c>
      <x:c r="V33" s="6" t="n">
        <x:v>1</x:v>
      </x:c>
    </x:row>
    <x:row r="34" ht="28" customHeight="1">
      <x:c r="A34" s="4" t="str">
        <x:v>UCSD-PTGBM-0017_02</x:v>
      </x:c>
      <x:c r="B34" s="4" t="str">
        <x:v>UCSD-PTGBM-0017</x:v>
      </x:c>
      <x:c r="C34" s="4" t="str">
        <x:v>BraTS-GLI-02267-101</x:v>
      </x:c>
      <x:c r="D34" s="4" t="str">
        <x:v>BraTS-GLI-02267</x:v>
      </x:c>
      <x:c r="E34" s="4" t="str">
        <x:v>dualid:UCSD-PTGBM-0017</x:v>
      </x:c>
      <x:c r="F34" s="6" t="n">
        <x:v>0</x:v>
      </x:c>
      <x:c r="G34" s="4" t="str">
        <x:v>explicit_negative_case_list</x:v>
      </x:c>
      <x:c r="H34" s="6" t="n">
        <x:v>27</x:v>
      </x:c>
      <x:c r="I34" s="6" t="n">
        <x:v>1</x:v>
      </x:c>
      <x:c r="J34" s="6" t="n">
        <x:v>0</x:v>
      </x:c>
      <x:c r="K34" s="6" t="n">
        <x:v>-498</x:v>
      </x:c>
      <x:c r="L34" s="6" t="n">
        <x:v>498</x:v>
      </x:c>
      <x:c r="M34" s="6" t="n">
        <x:v>6.2126060958</x:v>
      </x:c>
      <x:c r="N34" s="6" t="n">
        <x:v>0</x:v>
      </x:c>
      <x:c r="O34" s="4" t="str">
        <x:v>Glioblastoma</x:v>
      </x:c>
      <x:c r="P34" s="6" t="n">
        <x:v>1</x:v>
      </x:c>
      <x:c r="Q34" s="8" t="n">
        <x:v>0.6286139116</x:v>
      </x:c>
      <x:c r="R34" s="6" t="n">
        <x:v>1</x:v>
      </x:c>
      <x:c r="S34" s="8" t="n">
        <x:v>0.5377621583</x:v>
      </x:c>
      <x:c r="T34" s="6" t="n">
        <x:v>1</x:v>
      </x:c>
      <x:c r="U34" s="8" t="n">
        <x:v>0.7597402597</x:v>
      </x:c>
      <x:c r="V34" s="6" t="n">
        <x:v>1</x:v>
      </x:c>
    </x:row>
    <x:row r="35" ht="28" customHeight="1">
      <x:c r="A35" s="4" t="str">
        <x:v>UCSD-PTGBM-0018_01</x:v>
      </x:c>
      <x:c r="B35" s="4" t="str">
        <x:v>UCSD-PTGBM-0018</x:v>
      </x:c>
      <x:c r="C35" s="4" t="str">
        <x:v>BraTS-GLI-02268-100</x:v>
      </x:c>
      <x:c r="D35" s="4" t="str">
        <x:v>BraTS-GLI-02268</x:v>
      </x:c>
      <x:c r="E35" s="4" t="str">
        <x:v>dualid:UCSD-PTGBM-0018</x:v>
      </x:c>
      <x:c r="F35" s="6" t="n">
        <x:v>0</x:v>
      </x:c>
      <x:c r="G35" s="4" t="str">
        <x:v>explicit_negative_case_list</x:v>
      </x:c>
      <x:c r="H35" s="6" t="n">
        <x:v>26</x:v>
      </x:c>
      <x:c r="I35" s="6" t="n">
        <x:v>1</x:v>
      </x:c>
      <x:c r="J35" s="6" t="n">
        <x:v>0</x:v>
      </x:c>
      <x:c r="K35" s="6" t="n">
        <x:v>-2540</x:v>
      </x:c>
      <x:c r="L35" s="6" t="n">
        <x:v>2540</x:v>
      </x:c>
      <x:c r="M35" s="6" t="n">
        <x:v>7.8403129833</x:v>
      </x:c>
      <x:c r="N35" s="6" t="n">
        <x:v>0</x:v>
      </x:c>
      <x:c r="O35" s="4" t="str">
        <x:v>Glioblastoma</x:v>
      </x:c>
      <x:c r="P35" s="6" t="n">
        <x:v>1</x:v>
      </x:c>
      <x:c r="Q35" s="8" t="n">
        <x:v>0.6233253688</x:v>
      </x:c>
      <x:c r="R35" s="6" t="n">
        <x:v>1</x:v>
      </x:c>
      <x:c r="S35" s="8" t="n">
        <x:v>0.3526674039</x:v>
      </x:c>
      <x:c r="T35" s="6" t="n">
        <x:v>0</x:v>
      </x:c>
      <x:c r="U35" s="8" t="n">
        <x:v>0.7597402597</x:v>
      </x:c>
      <x:c r="V35" s="6" t="n">
        <x:v>1</x:v>
      </x:c>
    </x:row>
    <x:row r="36" ht="28" customHeight="1">
      <x:c r="A36" s="4" t="str">
        <x:v>UCSD-PTGBM-0018_02</x:v>
      </x:c>
      <x:c r="B36" s="4" t="str">
        <x:v>UCSD-PTGBM-0018</x:v>
      </x:c>
      <x:c r="C36" s="4" t="str">
        <x:v>BraTS-GLI-02268-101</x:v>
      </x:c>
      <x:c r="D36" s="4" t="str">
        <x:v>BraTS-GLI-02268</x:v>
      </x:c>
      <x:c r="E36" s="4" t="str">
        <x:v>dualid:UCSD-PTGBM-0018</x:v>
      </x:c>
      <x:c r="F36" s="6" t="n">
        <x:v>0</x:v>
      </x:c>
      <x:c r="G36" s="4" t="str">
        <x:v>explicit_negative_case_list</x:v>
      </x:c>
      <x:c r="H36" s="6" t="n">
        <x:v>26</x:v>
      </x:c>
      <x:c r="I36" s="6" t="n">
        <x:v>1</x:v>
      </x:c>
      <x:c r="J36" s="6" t="n">
        <x:v>0</x:v>
      </x:c>
      <x:c r="K36" s="6" t="n">
        <x:v>-2657</x:v>
      </x:c>
      <x:c r="L36" s="6" t="n">
        <x:v>2657</x:v>
      </x:c>
      <x:c r="M36" s="6" t="n">
        <x:v>7.8853292393</x:v>
      </x:c>
      <x:c r="N36" s="6" t="n">
        <x:v>0</x:v>
      </x:c>
      <x:c r="O36" s="4" t="str">
        <x:v>Glioblastoma</x:v>
      </x:c>
      <x:c r="P36" s="6" t="n">
        <x:v>1</x:v>
      </x:c>
      <x:c r="Q36" s="8" t="n">
        <x:v>0.6233253688</x:v>
      </x:c>
      <x:c r="R36" s="6" t="n">
        <x:v>1</x:v>
      </x:c>
      <x:c r="S36" s="8" t="n">
        <x:v>0.3479664122</x:v>
      </x:c>
      <x:c r="T36" s="6" t="n">
        <x:v>0</x:v>
      </x:c>
      <x:c r="U36" s="8" t="n">
        <x:v>0.7597402597</x:v>
      </x:c>
      <x:c r="V36" s="6" t="n">
        <x:v>1</x:v>
      </x:c>
    </x:row>
    <x:row r="37" ht="28" customHeight="1">
      <x:c r="A37" s="4" t="str">
        <x:v>UCSD-PTGBM-0019_01</x:v>
      </x:c>
      <x:c r="B37" s="4" t="str">
        <x:v>UCSD-PTGBM-0019</x:v>
      </x:c>
      <x:c r="C37" s="4" t="str">
        <x:v>BraTS-GLI-02269-100</x:v>
      </x:c>
      <x:c r="D37" s="4" t="str">
        <x:v>BraTS-GLI-02269</x:v>
      </x:c>
      <x:c r="E37" s="4" t="str">
        <x:v>dualid:UCSD-PTGBM-0019</x:v>
      </x:c>
      <x:c r="F37" s="6" t="n">
        <x:v>0</x:v>
      </x:c>
      <x:c r="G37" s="4" t="str">
        <x:v>explicit_negative_case_list</x:v>
      </x:c>
      <x:c r="H37" s="6" t="n">
        <x:v>54</x:v>
      </x:c>
      <x:c r="I37" s="6" t="n">
        <x:v>1</x:v>
      </x:c>
      <x:c r="J37" s="6" t="n">
        <x:v>0</x:v>
      </x:c>
      <x:c r="K37" s="6" t="n">
        <x:v>-258</x:v>
      </x:c>
      <x:c r="L37" s="6" t="n">
        <x:v>258</x:v>
      </x:c>
      <x:c r="M37" s="6" t="n">
        <x:v>5.5568280617</x:v>
      </x:c>
      <x:c r="N37" s="6" t="n">
        <x:v>0</x:v>
      </x:c>
      <x:c r="O37" s="4" t="str">
        <x:v>Glioblastoma</x:v>
      </x:c>
      <x:c r="P37" s="6" t="n">
        <x:v>4</x:v>
      </x:c>
      <x:c r="Q37" s="8" t="n">
        <x:v>0.7720462575</x:v>
      </x:c>
      <x:c r="R37" s="6" t="n">
        <x:v>1</x:v>
      </x:c>
      <x:c r="S37" s="8" t="n">
        <x:v>0.695179542</x:v>
      </x:c>
      <x:c r="T37" s="6" t="n">
        <x:v>1</x:v>
      </x:c>
      <x:c r="U37" s="8" t="n">
        <x:v>0.7516339869</x:v>
      </x:c>
      <x:c r="V37" s="6" t="n">
        <x:v>1</x:v>
      </x:c>
    </x:row>
    <x:row r="38" ht="28" customHeight="1">
      <x:c r="A38" s="4" t="str">
        <x:v>UCSD-PTGBM-0019_02</x:v>
      </x:c>
      <x:c r="B38" s="4" t="str">
        <x:v>UCSD-PTGBM-0019</x:v>
      </x:c>
      <x:c r="C38" s="4" t="str">
        <x:v>BraTS-GLI-02269-101</x:v>
      </x:c>
      <x:c r="D38" s="4" t="str">
        <x:v>BraTS-GLI-02269</x:v>
      </x:c>
      <x:c r="E38" s="4" t="str">
        <x:v>dualid:UCSD-PTGBM-0019</x:v>
      </x:c>
      <x:c r="F38" s="6" t="n">
        <x:v>0</x:v>
      </x:c>
      <x:c r="G38" s="4" t="str">
        <x:v>explicit_negative_case_list</x:v>
      </x:c>
      <x:c r="H38" s="6" t="n">
        <x:v>54</x:v>
      </x:c>
      <x:c r="I38" s="6" t="n">
        <x:v>1</x:v>
      </x:c>
      <x:c r="J38" s="6" t="n">
        <x:v>0</x:v>
      </x:c>
      <x:c r="K38" s="6" t="n">
        <x:v>-355</x:v>
      </x:c>
      <x:c r="L38" s="6" t="n">
        <x:v>355</x:v>
      </x:c>
      <x:c r="M38" s="6" t="n">
        <x:v>5.8749307308</x:v>
      </x:c>
      <x:c r="N38" s="6" t="n">
        <x:v>0</x:v>
      </x:c>
      <x:c r="O38" s="4" t="str">
        <x:v>Glioblastoma</x:v>
      </x:c>
      <x:c r="P38" s="6" t="n">
        <x:v>4</x:v>
      </x:c>
      <x:c r="Q38" s="8" t="n">
        <x:v>0.7720462575</x:v>
      </x:c>
      <x:c r="R38" s="6" t="n">
        <x:v>1</x:v>
      </x:c>
      <x:c r="S38" s="8" t="n">
        <x:v>0.6558653425</x:v>
      </x:c>
      <x:c r="T38" s="6" t="n">
        <x:v>1</x:v>
      </x:c>
      <x:c r="U38" s="8" t="n">
        <x:v>0.7516339869</x:v>
      </x:c>
      <x:c r="V38" s="6" t="n">
        <x:v>1</x:v>
      </x:c>
    </x:row>
    <x:row r="39" ht="28" customHeight="1">
      <x:c r="A39" s="4" t="str">
        <x:v>UCSD-PTGBM-0020_01</x:v>
      </x:c>
      <x:c r="B39" s="4" t="str">
        <x:v>UCSD-PTGBM-0020</x:v>
      </x:c>
      <x:c r="C39" s="4" t="str">
        <x:v>BraTS-GLI-02270-100</x:v>
      </x:c>
      <x:c r="D39" s="4" t="str">
        <x:v>BraTS-GLI-02270</x:v>
      </x:c>
      <x:c r="E39" s="4" t="str">
        <x:v>dualid:UCSD-PTGBM-0020</x:v>
      </x:c>
      <x:c r="F39" s="6" t="n">
        <x:v>1</x:v>
      </x:c>
      <x:c r="G39" s="4" t="str">
        <x:v>derived_from_published_243_equals_192_plus_51_partition</x:v>
      </x:c>
      <x:c r="H39" s="6" t="n">
        <x:v>53</x:v>
      </x:c>
      <x:c r="I39" s="6" t="n">
        <x:v>1</x:v>
      </x:c>
      <x:c r="J39" s="6" t="n">
        <x:v>0</x:v>
      </x:c>
      <x:c r="K39" s="6" t="n">
        <x:v>-1886</x:v>
      </x:c>
      <x:c r="L39" s="6" t="n">
        <x:v>1886</x:v>
      </x:c>
      <x:c r="M39" s="6" t="n">
        <x:v>7.5427435454</x:v>
      </x:c>
      <x:c r="N39" s="6" t="n">
        <x:v>0</x:v>
      </x:c>
      <x:c r="O39" s="4" t="str">
        <x:v>Glioblastoma</x:v>
      </x:c>
      <x:c r="P39" s="6" t="n">
        <x:v>1</x:v>
      </x:c>
      <x:c r="Q39" s="8" t="n">
        <x:v>0.7527936897</x:v>
      </x:c>
      <x:c r="R39" s="6" t="n">
        <x:v>1</x:v>
      </x:c>
      <x:c r="S39" s="8" t="n">
        <x:v>0.4621093686</x:v>
      </x:c>
      <x:c r="T39" s="6" t="n">
        <x:v>0</x:v>
      </x:c>
      <x:c r="U39" s="8" t="n">
        <x:v>0.7597402597</x:v>
      </x:c>
      <x:c r="V39" s="6" t="n">
        <x:v>1</x:v>
      </x:c>
    </x:row>
    <x:row r="40" ht="28" customHeight="1">
      <x:c r="A40" s="4" t="str">
        <x:v>UCSD-PTGBM-0021_01</x:v>
      </x:c>
      <x:c r="B40" s="4" t="str">
        <x:v>UCSD-PTGBM-0021</x:v>
      </x:c>
      <x:c r="C40" s="4" t="str">
        <x:v>BraTS-GLI-02271-100</x:v>
      </x:c>
      <x:c r="D40" s="4" t="str">
        <x:v>BraTS-GLI-02271</x:v>
      </x:c>
      <x:c r="E40" s="4" t="str">
        <x:v>dualid:UCSD-PTGBM-0021</x:v>
      </x:c>
      <x:c r="F40" s="6" t="n">
        <x:v>1</x:v>
      </x:c>
      <x:c r="G40" s="4" t="str">
        <x:v>derived_from_published_243_equals_192_plus_51_partition</x:v>
      </x:c>
      <x:c r="H40" s="6" t="n">
        <x:v>60</x:v>
      </x:c>
      <x:c r="I40" s="6" t="n">
        <x:v>1</x:v>
      </x:c>
      <x:c r="J40" s="6" t="n">
        <x:v>0</x:v>
      </x:c>
      <x:c r="K40" s="6" t="n">
        <x:v>-28</x:v>
      </x:c>
      <x:c r="L40" s="6" t="n">
        <x:v>28</x:v>
      </x:c>
      <x:c r="M40" s="6" t="n">
        <x:v>3.36729583</x:v>
      </x:c>
      <x:c r="N40" s="6" t="n">
        <x:v>0</x:v>
      </x:c>
      <x:c r="O40" s="4" t="str">
        <x:v>Glioblastoma</x:v>
      </x:c>
      <x:c r="P40" s="6" t="n">
        <x:v>2</x:v>
      </x:c>
      <x:c r="Q40" s="8" t="n">
        <x:v>0.8104998583</x:v>
      </x:c>
      <x:c r="R40" s="6" t="n">
        <x:v>1</x:v>
      </x:c>
      <x:c r="S40" s="8" t="n">
        <x:v>0.8516346443</x:v>
      </x:c>
      <x:c r="T40" s="6" t="n">
        <x:v>1</x:v>
      </x:c>
      <x:c r="U40" s="8" t="n">
        <x:v>0.7581699346</x:v>
      </x:c>
      <x:c r="V40" s="6" t="n">
        <x:v>1</x:v>
      </x:c>
    </x:row>
    <x:row r="41" ht="28" customHeight="1">
      <x:c r="A41" s="4" t="str">
        <x:v>UCSD-PTGBM-0022_01</x:v>
      </x:c>
      <x:c r="B41" s="4" t="str">
        <x:v>UCSD-PTGBM-0022</x:v>
      </x:c>
      <x:c r="C41" s="4" t="str">
        <x:v>BraTS-GLI-02272-100</x:v>
      </x:c>
      <x:c r="D41" s="4" t="str">
        <x:v>BraTS-GLI-02272</x:v>
      </x:c>
      <x:c r="E41" s="4" t="str">
        <x:v>dualid:UCSD-PTGBM-0022</x:v>
      </x:c>
      <x:c r="F41" s="6" t="n">
        <x:v>1</x:v>
      </x:c>
      <x:c r="G41" s="4" t="str">
        <x:v>derived_from_published_243_equals_192_plus_51_partition</x:v>
      </x:c>
      <x:c r="H41" s="6" t="n">
        <x:v>70</x:v>
      </x:c>
      <x:c r="I41" s="6" t="n">
        <x:v>1</x:v>
      </x:c>
      <x:c r="J41" s="6" t="n">
        <x:v>0</x:v>
      </x:c>
      <x:c r="K41" s="6" t="n">
        <x:v>-27</x:v>
      </x:c>
      <x:c r="L41" s="6" t="n">
        <x:v>27</x:v>
      </x:c>
      <x:c r="M41" s="6" t="n">
        <x:v>3.3322045102</x:v>
      </x:c>
      <x:c r="N41" s="6" t="n">
        <x:v>0</x:v>
      </x:c>
      <x:c r="O41" s="4" t="str">
        <x:v>Glioblastoma</x:v>
      </x:c>
      <x:c r="P41" s="6" t="n">
        <x:v>2</x:v>
      </x:c>
      <x:c r="Q41" s="8" t="n">
        <x:v>0.8419509302</x:v>
      </x:c>
      <x:c r="R41" s="6" t="n">
        <x:v>1</x:v>
      </x:c>
      <x:c r="S41" s="8" t="n">
        <x:v>0.872051993</x:v>
      </x:c>
      <x:c r="T41" s="6" t="n">
        <x:v>1</x:v>
      </x:c>
      <x:c r="U41" s="8" t="n">
        <x:v>0.7581699346</x:v>
      </x:c>
      <x:c r="V41" s="6" t="n">
        <x:v>1</x:v>
      </x:c>
    </x:row>
    <x:row r="42" ht="28" customHeight="1">
      <x:c r="A42" s="4" t="str">
        <x:v>UCSD-PTGBM-0022_02</x:v>
      </x:c>
      <x:c r="B42" s="4" t="str">
        <x:v>UCSD-PTGBM-0022</x:v>
      </x:c>
      <x:c r="C42" s="4" t="str">
        <x:v>BraTS-GLI-02272-101</x:v>
      </x:c>
      <x:c r="D42" s="4" t="str">
        <x:v>BraTS-GLI-02272</x:v>
      </x:c>
      <x:c r="E42" s="4" t="str">
        <x:v>dualid:UCSD-PTGBM-0022</x:v>
      </x:c>
      <x:c r="F42" s="6" t="n">
        <x:v>1</x:v>
      </x:c>
      <x:c r="G42" s="4" t="str">
        <x:v>derived_from_published_243_equals_192_plus_51_partition</x:v>
      </x:c>
      <x:c r="H42" s="6" t="n">
        <x:v>70</x:v>
      </x:c>
      <x:c r="I42" s="6" t="n">
        <x:v>1</x:v>
      </x:c>
      <x:c r="J42" s="6" t="n">
        <x:v>0</x:v>
      </x:c>
      <x:c r="K42" s="6" t="n">
        <x:v>-210</x:v>
      </x:c>
      <x:c r="L42" s="6" t="n">
        <x:v>210</x:v>
      </x:c>
      <x:c r="M42" s="6" t="n">
        <x:v>5.3518581335</x:v>
      </x:c>
      <x:c r="N42" s="6" t="n">
        <x:v>0</x:v>
      </x:c>
      <x:c r="O42" s="4" t="str">
        <x:v>Glioblastoma</x:v>
      </x:c>
      <x:c r="P42" s="6" t="n">
        <x:v>2</x:v>
      </x:c>
      <x:c r="Q42" s="8" t="n">
        <x:v>0.8419509302</x:v>
      </x:c>
      <x:c r="R42" s="6" t="n">
        <x:v>1</x:v>
      </x:c>
      <x:c r="S42" s="8" t="n">
        <x:v>0.7887433955</x:v>
      </x:c>
      <x:c r="T42" s="6" t="n">
        <x:v>1</x:v>
      </x:c>
      <x:c r="U42" s="8" t="n">
        <x:v>0.7581699346</x:v>
      </x:c>
      <x:c r="V42" s="6" t="n">
        <x:v>1</x:v>
      </x:c>
    </x:row>
    <x:row r="43" ht="28" customHeight="1">
      <x:c r="A43" s="4" t="str">
        <x:v>UCSD-PTGBM-0023_01</x:v>
      </x:c>
      <x:c r="B43" s="4" t="str">
        <x:v>UCSD-PTGBM-0023</x:v>
      </x:c>
      <x:c r="C43" s="4" t="str">
        <x:v>BraTS-GLI-02273-100</x:v>
      </x:c>
      <x:c r="D43" s="4" t="str">
        <x:v>BraTS-GLI-02273</x:v>
      </x:c>
      <x:c r="E43" s="4" t="str">
        <x:v>dualid:UCSD-PTGBM-0023</x:v>
      </x:c>
      <x:c r="F43" s="6" t="n">
        <x:v>1</x:v>
      </x:c>
      <x:c r="G43" s="4" t="str">
        <x:v>derived_from_published_243_equals_192_plus_51_partition</x:v>
      </x:c>
      <x:c r="H43" s="6" t="n">
        <x:v>35</x:v>
      </x:c>
      <x:c r="I43" s="6" t="n">
        <x:v>1</x:v>
      </x:c>
      <x:c r="J43" s="6" t="n">
        <x:v>0</x:v>
      </x:c>
      <x:c r="K43" s="6" t="n">
        <x:v>-344</x:v>
      </x:c>
      <x:c r="L43" s="6" t="n">
        <x:v>344</x:v>
      </x:c>
      <x:c r="M43" s="6" t="n">
        <x:v>5.843544417</x:v>
      </x:c>
      <x:c r="N43" s="6" t="n">
        <x:v>0</x:v>
      </x:c>
      <x:c r="O43" s="4" t="str">
        <x:v>Glioblastoma</x:v>
      </x:c>
      <x:c r="P43" s="6" t="n">
        <x:v>4</x:v>
      </x:c>
      <x:c r="Q43" s="8" t="n">
        <x:v>0.6813615719</x:v>
      </x:c>
      <x:c r="R43" s="6" t="n">
        <x:v>1</x:v>
      </x:c>
      <x:c r="S43" s="8" t="n">
        <x:v>0.6219783416</x:v>
      </x:c>
      <x:c r="T43" s="6" t="n">
        <x:v>1</x:v>
      </x:c>
      <x:c r="U43" s="8" t="n">
        <x:v>0.7516339869</x:v>
      </x:c>
      <x:c r="V43" s="6" t="n">
        <x:v>1</x:v>
      </x:c>
    </x:row>
    <x:row r="44" ht="28" customHeight="1">
      <x:c r="A44" s="4" t="str">
        <x:v>UCSD-PTGBM-0024_01</x:v>
      </x:c>
      <x:c r="B44" s="4" t="str">
        <x:v>UCSD-PTGBM-0024</x:v>
      </x:c>
      <x:c r="C44" s="4" t="str">
        <x:v>BraTS-GLI-02274-100</x:v>
      </x:c>
      <x:c r="D44" s="4" t="str">
        <x:v>BraTS-GLI-02274</x:v>
      </x:c>
      <x:c r="E44" s="4" t="str">
        <x:v>dualid:UCSD-PTGBM-0024</x:v>
      </x:c>
      <x:c r="F44" s="6" t="n">
        <x:v>1</x:v>
      </x:c>
      <x:c r="G44" s="4" t="str">
        <x:v>derived_from_published_243_equals_192_plus_51_partition</x:v>
      </x:c>
      <x:c r="H44" s="6" t="n">
        <x:v>66</x:v>
      </x:c>
      <x:c r="I44" s="6" t="n">
        <x:v>1</x:v>
      </x:c>
      <x:c r="J44" s="6" t="n">
        <x:v>0</x:v>
      </x:c>
      <x:c r="K44" s="6" t="n">
        <x:v>-640</x:v>
      </x:c>
      <x:c r="L44" s="6" t="n">
        <x:v>640</x:v>
      </x:c>
      <x:c r="M44" s="6" t="n">
        <x:v>6.4630294569</x:v>
      </x:c>
      <x:c r="N44" s="6" t="n">
        <x:v>0</x:v>
      </x:c>
      <x:c r="O44" s="4" t="str">
        <x:v>Glioblastoma</x:v>
      </x:c>
      <x:c r="P44" s="6" t="n">
        <x:v>5</x:v>
      </x:c>
      <x:c r="Q44" s="8" t="n">
        <x:v>0.8135197567</x:v>
      </x:c>
      <x:c r="R44" s="6" t="n">
        <x:v>1</x:v>
      </x:c>
      <x:c r="S44" s="8" t="n">
        <x:v>0.5889547591</x:v>
      </x:c>
      <x:c r="T44" s="6" t="n">
        <x:v>1</x:v>
      </x:c>
      <x:c r="U44" s="8" t="n">
        <x:v>0.7516339869</x:v>
      </x:c>
      <x:c r="V44" s="6" t="n">
        <x:v>1</x:v>
      </x:c>
    </x:row>
    <x:row r="45" ht="28" customHeight="1">
      <x:c r="A45" s="4" t="str">
        <x:v>UCSD-PTGBM-0025_01</x:v>
      </x:c>
      <x:c r="B45" s="4" t="str">
        <x:v>UCSD-PTGBM-0025</x:v>
      </x:c>
      <x:c r="C45" s="4" t="str">
        <x:v>BraTS-GLI-02275-100</x:v>
      </x:c>
      <x:c r="D45" s="4" t="str">
        <x:v>BraTS-GLI-02275</x:v>
      </x:c>
      <x:c r="E45" s="4" t="str">
        <x:v>dualid:UCSD-PTGBM-0025</x:v>
      </x:c>
      <x:c r="F45" s="6" t="n">
        <x:v>1</x:v>
      </x:c>
      <x:c r="G45" s="4" t="str">
        <x:v>derived_from_published_243_equals_192_plus_51_partition</x:v>
      </x:c>
      <x:c r="H45" s="6" t="n">
        <x:v>47</x:v>
      </x:c>
      <x:c r="I45" s="6" t="n">
        <x:v>1</x:v>
      </x:c>
      <x:c r="J45" s="6" t="n">
        <x:v>0</x:v>
      </x:c>
      <x:c r="K45" s="6" t="n">
        <x:v>-11</x:v>
      </x:c>
      <x:c r="L45" s="6" t="n">
        <x:v>11</x:v>
      </x:c>
      <x:c r="M45" s="6" t="n">
        <x:v>2.4849066498</x:v>
      </x:c>
      <x:c r="N45" s="6" t="n">
        <x:v>0</x:v>
      </x:c>
      <x:c r="O45" s="4" t="str">
        <x:v>Glioblastoma</x:v>
      </x:c>
      <x:c r="P45" s="6" t="n">
        <x:v>5</x:v>
      </x:c>
      <x:c r="Q45" s="8" t="n">
        <x:v>0.7206142761</x:v>
      </x:c>
      <x:c r="R45" s="6" t="n">
        <x:v>1</x:v>
      </x:c>
      <x:c r="S45" s="8" t="n">
        <x:v>0.8979784401</x:v>
      </x:c>
      <x:c r="T45" s="6" t="n">
        <x:v>1</x:v>
      </x:c>
      <x:c r="U45" s="8" t="n">
        <x:v>0.7516339869</x:v>
      </x:c>
      <x:c r="V45" s="6" t="n">
        <x:v>1</x:v>
      </x:c>
    </x:row>
    <x:row r="46" ht="28" customHeight="1">
      <x:c r="A46" s="4" t="str">
        <x:v>UCSD-PTGBM-0025_02</x:v>
      </x:c>
      <x:c r="B46" s="4" t="str">
        <x:v>UCSD-PTGBM-0025</x:v>
      </x:c>
      <x:c r="C46" s="4" t="str">
        <x:v>BraTS-GLI-02275-101</x:v>
      </x:c>
      <x:c r="D46" s="4" t="str">
        <x:v>BraTS-GLI-02275</x:v>
      </x:c>
      <x:c r="E46" s="4" t="str">
        <x:v>dualid:UCSD-PTGBM-0025</x:v>
      </x:c>
      <x:c r="F46" s="6" t="n">
        <x:v>1</x:v>
      </x:c>
      <x:c r="G46" s="4" t="str">
        <x:v>derived_from_published_243_equals_192_plus_51_partition</x:v>
      </x:c>
      <x:c r="H46" s="6" t="n">
        <x:v>47</x:v>
      </x:c>
      <x:c r="I46" s="6" t="n">
        <x:v>1</x:v>
      </x:c>
      <x:c r="J46" s="6" t="n">
        <x:v>0</x:v>
      </x:c>
      <x:c r="K46" s="6" t="n">
        <x:v>-201</x:v>
      </x:c>
      <x:c r="L46" s="6" t="n">
        <x:v>201</x:v>
      </x:c>
      <x:c r="M46" s="6" t="n">
        <x:v>5.3082676974</x:v>
      </x:c>
      <x:c r="N46" s="6" t="n">
        <x:v>0</x:v>
      </x:c>
      <x:c r="O46" s="4" t="str">
        <x:v>Glioblastoma</x:v>
      </x:c>
      <x:c r="P46" s="6" t="n">
        <x:v>5</x:v>
      </x:c>
      <x:c r="Q46" s="8" t="n">
        <x:v>0.7206142761</x:v>
      </x:c>
      <x:c r="R46" s="6" t="n">
        <x:v>1</x:v>
      </x:c>
      <x:c r="S46" s="8" t="n">
        <x:v>0.6658073126</x:v>
      </x:c>
      <x:c r="T46" s="6" t="n">
        <x:v>1</x:v>
      </x:c>
      <x:c r="U46" s="8" t="n">
        <x:v>0.7516339869</x:v>
      </x:c>
      <x:c r="V46" s="6" t="n">
        <x:v>1</x:v>
      </x:c>
    </x:row>
    <x:row r="47" ht="28" customHeight="1">
      <x:c r="A47" s="4" t="str">
        <x:v>UCSD-PTGBM-0025_03</x:v>
      </x:c>
      <x:c r="B47" s="4" t="str">
        <x:v>UCSD-PTGBM-0025</x:v>
      </x:c>
      <x:c r="C47" s="4" t="str">
        <x:v>BraTS-GLI-02275-102</x:v>
      </x:c>
      <x:c r="D47" s="4" t="str">
        <x:v>BraTS-GLI-02275</x:v>
      </x:c>
      <x:c r="E47" s="4" t="str">
        <x:v>dualid:UCSD-PTGBM-0025</x:v>
      </x:c>
      <x:c r="F47" s="6" t="n">
        <x:v>1</x:v>
      </x:c>
      <x:c r="G47" s="4" t="str">
        <x:v>derived_from_published_243_equals_192_plus_51_partition</x:v>
      </x:c>
      <x:c r="H47" s="6" t="n">
        <x:v>47</x:v>
      </x:c>
      <x:c r="I47" s="6" t="n">
        <x:v>1</x:v>
      </x:c>
      <x:c r="J47" s="6" t="n">
        <x:v>0</x:v>
      </x:c>
      <x:c r="K47" s="6" t="n">
        <x:v>-228</x:v>
      </x:c>
      <x:c r="L47" s="6" t="n">
        <x:v>228</x:v>
      </x:c>
      <x:c r="M47" s="6" t="n">
        <x:v>5.4337220035</x:v>
      </x:c>
      <x:c r="N47" s="6" t="n">
        <x:v>0</x:v>
      </x:c>
      <x:c r="O47" s="4" t="str">
        <x:v>Glioblastoma</x:v>
      </x:c>
      <x:c r="P47" s="6" t="n">
        <x:v>5</x:v>
      </x:c>
      <x:c r="Q47" s="8" t="n">
        <x:v>0.7206142761</x:v>
      </x:c>
      <x:c r="R47" s="6" t="n">
        <x:v>1</x:v>
      </x:c>
      <x:c r="S47" s="8" t="n">
        <x:v>0.6509612864</x:v>
      </x:c>
      <x:c r="T47" s="6" t="n">
        <x:v>1</x:v>
      </x:c>
      <x:c r="U47" s="8" t="n">
        <x:v>0.7516339869</x:v>
      </x:c>
      <x:c r="V47" s="6" t="n">
        <x:v>1</x:v>
      </x:c>
    </x:row>
    <x:row r="48" ht="28" customHeight="1">
      <x:c r="A48" s="4" t="str">
        <x:v>UCSD-PTGBM-0026_01</x:v>
      </x:c>
      <x:c r="B48" s="4" t="str">
        <x:v>UCSD-PTGBM-0026</x:v>
      </x:c>
      <x:c r="C48" s="4" t="str">
        <x:v>BraTS-GLI-02276-100</x:v>
      </x:c>
      <x:c r="D48" s="4" t="str">
        <x:v>BraTS-GLI-02276</x:v>
      </x:c>
      <x:c r="E48" s="4" t="str">
        <x:v>dualid:UCSD-PTGBM-0026</x:v>
      </x:c>
      <x:c r="F48" s="6" t="n">
        <x:v>1</x:v>
      </x:c>
      <x:c r="G48" s="4" t="str">
        <x:v>derived_from_published_243_equals_192_plus_51_partition</x:v>
      </x:c>
      <x:c r="H48" s="6" t="n">
        <x:v>50</x:v>
      </x:c>
      <x:c r="I48" s="6" t="n">
        <x:v>1</x:v>
      </x:c>
      <x:c r="J48" s="6" t="n">
        <x:v>0</x:v>
      </x:c>
      <x:c r="K48" s="6" t="n">
        <x:v>-98</x:v>
      </x:c>
      <x:c r="L48" s="6" t="n">
        <x:v>98</x:v>
      </x:c>
      <x:c r="M48" s="6" t="n">
        <x:v>4.5951198501</x:v>
      </x:c>
      <x:c r="N48" s="6" t="n">
        <x:v>0</x:v>
      </x:c>
      <x:c r="O48" s="4" t="str">
        <x:v>Glioblastoma</x:v>
      </x:c>
      <x:c r="P48" s="6" t="n">
        <x:v>5</x:v>
      </x:c>
      <x:c r="Q48" s="8" t="n">
        <x:v>0.7370108335</x:v>
      </x:c>
      <x:c r="R48" s="6" t="n">
        <x:v>1</x:v>
      </x:c>
      <x:c r="S48" s="8" t="n">
        <x:v>0.7518389213</x:v>
      </x:c>
      <x:c r="T48" s="6" t="n">
        <x:v>1</x:v>
      </x:c>
      <x:c r="U48" s="8" t="n">
        <x:v>0.7516339869</x:v>
      </x:c>
      <x:c r="V48" s="6" t="n">
        <x:v>1</x:v>
      </x:c>
    </x:row>
    <x:row r="49" ht="28" customHeight="1">
      <x:c r="A49" s="4" t="str">
        <x:v>UCSD-PTGBM-0027_01</x:v>
      </x:c>
      <x:c r="B49" s="4" t="str">
        <x:v>UCSD-PTGBM-0027</x:v>
      </x:c>
      <x:c r="C49" s="4" t="str">
        <x:v>BraTS-GLI-02277-100</x:v>
      </x:c>
      <x:c r="D49" s="4" t="str">
        <x:v>BraTS-GLI-02277</x:v>
      </x:c>
      <x:c r="E49" s="4" t="str">
        <x:v>dualid:UCSD-PTGBM-0027</x:v>
      </x:c>
      <x:c r="F49" s="6" t="n">
        <x:v>1</x:v>
      </x:c>
      <x:c r="G49" s="4" t="str">
        <x:v>derived_from_published_243_equals_192_plus_51_partition</x:v>
      </x:c>
      <x:c r="H49" s="6" t="n">
        <x:v>74</x:v>
      </x:c>
      <x:c r="I49" s="6" t="n">
        <x:v>1</x:v>
      </x:c>
      <x:c r="J49" s="6" t="n">
        <x:v>0</x:v>
      </x:c>
      <x:c r="K49" s="6" t="n">
        <x:v>-150</x:v>
      </x:c>
      <x:c r="L49" s="6" t="n">
        <x:v>150</x:v>
      </x:c>
      <x:c r="M49" s="6" t="n">
        <x:v>5.0172798368</x:v>
      </x:c>
      <x:c r="N49" s="6" t="n">
        <x:v>0</x:v>
      </x:c>
      <x:c r="O49" s="4" t="str">
        <x:v>Glioblastoma</x:v>
      </x:c>
      <x:c r="P49" s="6" t="n">
        <x:v>4</x:v>
      </x:c>
      <x:c r="Q49" s="8" t="n">
        <x:v>0.8460526379</x:v>
      </x:c>
      <x:c r="R49" s="6" t="n">
        <x:v>1</x:v>
      </x:c>
      <x:c r="S49" s="8" t="n">
        <x:v>0.7862212334</x:v>
      </x:c>
      <x:c r="T49" s="6" t="n">
        <x:v>1</x:v>
      </x:c>
      <x:c r="U49" s="8" t="n">
        <x:v>0.7516339869</x:v>
      </x:c>
      <x:c r="V49" s="6" t="n">
        <x:v>1</x:v>
      </x:c>
    </x:row>
    <x:row r="50" ht="28" customHeight="1">
      <x:c r="A50" s="4" t="str">
        <x:v>UCSD-PTGBM-0028_01</x:v>
      </x:c>
      <x:c r="B50" s="4" t="str">
        <x:v>UCSD-PTGBM-0028</x:v>
      </x:c>
      <x:c r="C50" s="4" t="str">
        <x:v>BraTS-GLI-02279-100</x:v>
      </x:c>
      <x:c r="D50" s="4" t="str">
        <x:v>BraTS-GLI-02279</x:v>
      </x:c>
      <x:c r="E50" s="4" t="str">
        <x:v>dualid:UCSD-PTGBM-0028</x:v>
      </x:c>
      <x:c r="F50" s="6" t="n">
        <x:v>1</x:v>
      </x:c>
      <x:c r="G50" s="4" t="str">
        <x:v>derived_from_published_243_equals_192_plus_51_partition</x:v>
      </x:c>
      <x:c r="H50" s="6" t="n">
        <x:v>66</x:v>
      </x:c>
      <x:c r="I50" s="6" t="n">
        <x:v>1</x:v>
      </x:c>
      <x:c r="J50" s="6" t="n">
        <x:v>0</x:v>
      </x:c>
      <x:c r="K50" s="6" t="n">
        <x:v>-20</x:v>
      </x:c>
      <x:c r="L50" s="6" t="n">
        <x:v>20</x:v>
      </x:c>
      <x:c r="M50" s="6" t="n">
        <x:v>3.0445224377</x:v>
      </x:c>
      <x:c r="N50" s="6" t="n">
        <x:v>0</x:v>
      </x:c>
      <x:c r="O50" s="4" t="str">
        <x:v>Glioblastoma</x:v>
      </x:c>
      <x:c r="P50" s="6" t="n">
        <x:v>1</x:v>
      </x:c>
      <x:c r="Q50" s="8" t="n">
        <x:v>0.8033262092</x:v>
      </x:c>
      <x:c r="R50" s="6" t="n">
        <x:v>1</x:v>
      </x:c>
      <x:c r="S50" s="8" t="n">
        <x:v>0.8875225197</x:v>
      </x:c>
      <x:c r="T50" s="6" t="n">
        <x:v>1</x:v>
      </x:c>
      <x:c r="U50" s="8" t="n">
        <x:v>0.7597402597</x:v>
      </x:c>
      <x:c r="V50" s="6" t="n">
        <x:v>1</x:v>
      </x:c>
    </x:row>
    <x:row r="51" ht="28" customHeight="1">
      <x:c r="A51" s="4" t="str">
        <x:v>UCSD-PTGBM-0029_01</x:v>
      </x:c>
      <x:c r="B51" s="4" t="str">
        <x:v>UCSD-PTGBM-0029</x:v>
      </x:c>
      <x:c r="C51" s="4" t="str">
        <x:v>BraTS-GLI-02280-100</x:v>
      </x:c>
      <x:c r="D51" s="4" t="str">
        <x:v>BraTS-GLI-02280</x:v>
      </x:c>
      <x:c r="E51" s="4" t="str">
        <x:v>dualid:UCSD-PTGBM-0029</x:v>
      </x:c>
      <x:c r="F51" s="6" t="n">
        <x:v>1</x:v>
      </x:c>
      <x:c r="G51" s="4" t="str">
        <x:v>derived_from_published_243_equals_192_plus_51_partition</x:v>
      </x:c>
      <x:c r="H51" s="6" t="n">
        <x:v>65</x:v>
      </x:c>
      <x:c r="I51" s="6" t="n">
        <x:v>0</x:v>
      </x:c>
      <x:c r="J51" s="6" t="n">
        <x:v>0</x:v>
      </x:c>
      <x:c r="K51" s="6" t="n">
        <x:v>-237</x:v>
      </x:c>
      <x:c r="L51" s="6" t="n">
        <x:v>237</x:v>
      </x:c>
      <x:c r="M51" s="6" t="n">
        <x:v>5.4722706737</x:v>
      </x:c>
      <x:c r="N51" s="6" t="n">
        <x:v>0</x:v>
      </x:c>
      <x:c r="O51" s="4" t="str">
        <x:v>Glioblastoma</x:v>
      </x:c>
      <x:c r="P51" s="6" t="n">
        <x:v>2</x:v>
      </x:c>
      <x:c r="Q51" s="8" t="n">
        <x:v>0.729792804</x:v>
      </x:c>
      <x:c r="R51" s="6" t="n">
        <x:v>1</x:v>
      </x:c>
      <x:c r="S51" s="8" t="n">
        <x:v>0.6838986392</x:v>
      </x:c>
      <x:c r="T51" s="6" t="n">
        <x:v>1</x:v>
      </x:c>
      <x:c r="U51" s="8" t="n">
        <x:v>0.7581699346</x:v>
      </x:c>
      <x:c r="V51" s="6" t="n">
        <x:v>1</x:v>
      </x:c>
    </x:row>
    <x:row r="52" ht="28" customHeight="1">
      <x:c r="A52" s="4" t="str">
        <x:v>UCSD-PTGBM-0030_01</x:v>
      </x:c>
      <x:c r="B52" s="4" t="str">
        <x:v>UCSD-PTGBM-0030</x:v>
      </x:c>
      <x:c r="C52" s="4" t="str">
        <x:v>BraTS-GLI-02282-100</x:v>
      </x:c>
      <x:c r="D52" s="4" t="str">
        <x:v>BraTS-GLI-02282</x:v>
      </x:c>
      <x:c r="E52" s="4" t="str">
        <x:v>dualid:UCSD-PTGBM-0030</x:v>
      </x:c>
      <x:c r="F52" s="6" t="n">
        <x:v>1</x:v>
      </x:c>
      <x:c r="G52" s="4" t="str">
        <x:v>derived_from_published_243_equals_192_plus_51_partition</x:v>
      </x:c>
      <x:c r="H52" s="6" t="n">
        <x:v>73</x:v>
      </x:c>
      <x:c r="I52" s="6" t="n">
        <x:v>1</x:v>
      </x:c>
      <x:c r="J52" s="6" t="n">
        <x:v>0</x:v>
      </x:c>
      <x:c r="K52" s="6" t="n">
        <x:v>-254</x:v>
      </x:c>
      <x:c r="L52" s="6" t="n">
        <x:v>254</x:v>
      </x:c>
      <x:c r="M52" s="6" t="n">
        <x:v>5.5412635452</x:v>
      </x:c>
      <x:c r="N52" s="6" t="n">
        <x:v>0</x:v>
      </x:c>
      <x:c r="O52" s="4" t="str">
        <x:v>Glioblastoma</x:v>
      </x:c>
      <x:c r="P52" s="6" t="n">
        <x:v>4</x:v>
      </x:c>
      <x:c r="Q52" s="8" t="n">
        <x:v>0.8428737263</x:v>
      </x:c>
      <x:c r="R52" s="6" t="n">
        <x:v>1</x:v>
      </x:c>
      <x:c r="S52" s="8" t="n">
        <x:v>0.7306480738</x:v>
      </x:c>
      <x:c r="T52" s="6" t="n">
        <x:v>1</x:v>
      </x:c>
      <x:c r="U52" s="8" t="n">
        <x:v>0.7516339869</x:v>
      </x:c>
      <x:c r="V52" s="6" t="n">
        <x:v>1</x:v>
      </x:c>
    </x:row>
    <x:row r="53" ht="28" customHeight="1">
      <x:c r="A53" s="4" t="str">
        <x:v>UCSD-PTGBM-0031_01</x:v>
      </x:c>
      <x:c r="B53" s="4" t="str">
        <x:v>UCSD-PTGBM-0031</x:v>
      </x:c>
      <x:c r="C53" s="4" t="str">
        <x:v>BraTS-GLI-02284-100</x:v>
      </x:c>
      <x:c r="D53" s="4" t="str">
        <x:v>BraTS-GLI-02284</x:v>
      </x:c>
      <x:c r="E53" s="4" t="str">
        <x:v>dualid:UCSD-PTGBM-0031</x:v>
      </x:c>
      <x:c r="F53" s="6" t="n">
        <x:v>1</x:v>
      </x:c>
      <x:c r="G53" s="4" t="str">
        <x:v>derived_from_published_243_equals_192_plus_51_partition</x:v>
      </x:c>
      <x:c r="H53" s="6" t="n">
        <x:v>63</x:v>
      </x:c>
      <x:c r="I53" s="6" t="n">
        <x:v>1</x:v>
      </x:c>
      <x:c r="J53" s="6" t="n">
        <x:v>0</x:v>
      </x:c>
      <x:c r="K53" s="6" t="n">
        <x:v>-24</x:v>
      </x:c>
      <x:c r="L53" s="6" t="n">
        <x:v>24</x:v>
      </x:c>
      <x:c r="M53" s="6" t="n">
        <x:v>3.2188758249</x:v>
      </x:c>
      <x:c r="N53" s="6" t="n">
        <x:v>0</x:v>
      </x:c>
      <x:c r="O53" s="4" t="str">
        <x:v>Glioblastoma</x:v>
      </x:c>
      <x:c r="P53" s="6" t="n">
        <x:v>4</x:v>
      </x:c>
      <x:c r="Q53" s="8" t="n">
        <x:v>0.8081033225</x:v>
      </x:c>
      <x:c r="R53" s="6" t="n">
        <x:v>1</x:v>
      </x:c>
      <x:c r="S53" s="8" t="n">
        <x:v>0.902199276</x:v>
      </x:c>
      <x:c r="T53" s="6" t="n">
        <x:v>1</x:v>
      </x:c>
      <x:c r="U53" s="8" t="n">
        <x:v>0.7516339869</x:v>
      </x:c>
      <x:c r="V53" s="6" t="n">
        <x:v>1</x:v>
      </x:c>
    </x:row>
    <x:row r="54" ht="28" customHeight="1">
      <x:c r="A54" s="4" t="str">
        <x:v>UCSD-PTGBM-0032_01</x:v>
      </x:c>
      <x:c r="B54" s="4" t="str">
        <x:v>UCSD-PTGBM-0032</x:v>
      </x:c>
      <x:c r="C54" s="4" t="str">
        <x:v>BraTS-GLI-02285-100</x:v>
      </x:c>
      <x:c r="D54" s="4" t="str">
        <x:v>BraTS-GLI-02285</x:v>
      </x:c>
      <x:c r="E54" s="4" t="str">
        <x:v>dualid:UCSD-PTGBM-0032</x:v>
      </x:c>
      <x:c r="F54" s="6" t="n">
        <x:v>1</x:v>
      </x:c>
      <x:c r="G54" s="4" t="str">
        <x:v>derived_from_published_243_equals_192_plus_51_partition</x:v>
      </x:c>
      <x:c r="H54" s="6" t="n">
        <x:v>72</x:v>
      </x:c>
      <x:c r="I54" s="6" t="n">
        <x:v>0</x:v>
      </x:c>
      <x:c r="J54" s="6" t="n">
        <x:v>0</x:v>
      </x:c>
      <x:c r="K54" s="6" t="n">
        <x:v>-40</x:v>
      </x:c>
      <x:c r="L54" s="6" t="n">
        <x:v>40</x:v>
      </x:c>
      <x:c r="M54" s="6" t="n">
        <x:v>3.7135720667</x:v>
      </x:c>
      <x:c r="N54" s="6" t="n">
        <x:v>0</x:v>
      </x:c>
      <x:c r="O54" s="4" t="str">
        <x:v>Glioblastoma</x:v>
      </x:c>
      <x:c r="P54" s="6" t="n">
        <x:v>2</x:v>
      </x:c>
      <x:c r="Q54" s="8" t="n">
        <x:v>0.7590100813</x:v>
      </x:c>
      <x:c r="R54" s="6" t="n">
        <x:v>1</x:v>
      </x:c>
      <x:c r="S54" s="8" t="n">
        <x:v>0.8035673376</x:v>
      </x:c>
      <x:c r="T54" s="6" t="n">
        <x:v>1</x:v>
      </x:c>
      <x:c r="U54" s="8" t="n">
        <x:v>0.7581699346</x:v>
      </x:c>
      <x:c r="V54" s="6" t="n">
        <x:v>1</x:v>
      </x:c>
    </x:row>
    <x:row r="55" ht="28" customHeight="1">
      <x:c r="A55" s="4" t="str">
        <x:v>UCSD-PTGBM-0032_02</x:v>
      </x:c>
      <x:c r="B55" s="4" t="str">
        <x:v>UCSD-PTGBM-0032</x:v>
      </x:c>
      <x:c r="C55" s="4" t="str">
        <x:v>BraTS-GLI-02285-101</x:v>
      </x:c>
      <x:c r="D55" s="4" t="str">
        <x:v>BraTS-GLI-02285</x:v>
      </x:c>
      <x:c r="E55" s="4" t="str">
        <x:v>dualid:UCSD-PTGBM-0032</x:v>
      </x:c>
      <x:c r="F55" s="6" t="n">
        <x:v>1</x:v>
      </x:c>
      <x:c r="G55" s="4" t="str">
        <x:v>derived_from_published_243_equals_192_plus_51_partition</x:v>
      </x:c>
      <x:c r="H55" s="6" t="n">
        <x:v>72</x:v>
      </x:c>
      <x:c r="I55" s="6" t="n">
        <x:v>0</x:v>
      </x:c>
      <x:c r="J55" s="6" t="n">
        <x:v>0</x:v>
      </x:c>
      <x:c r="K55" s="6" t="n">
        <x:v>-115</x:v>
      </x:c>
      <x:c r="L55" s="6" t="n">
        <x:v>115</x:v>
      </x:c>
      <x:c r="M55" s="6" t="n">
        <x:v>4.7535901911</x:v>
      </x:c>
      <x:c r="N55" s="6" t="n">
        <x:v>0</x:v>
      </x:c>
      <x:c r="O55" s="4" t="str">
        <x:v>Glioblastoma</x:v>
      </x:c>
      <x:c r="P55" s="6" t="n">
        <x:v>2</x:v>
      </x:c>
      <x:c r="Q55" s="8" t="n">
        <x:v>0.7590100813</x:v>
      </x:c>
      <x:c r="R55" s="6" t="n">
        <x:v>1</x:v>
      </x:c>
      <x:c r="S55" s="8" t="n">
        <x:v>0.7500381006</x:v>
      </x:c>
      <x:c r="T55" s="6" t="n">
        <x:v>1</x:v>
      </x:c>
      <x:c r="U55" s="8" t="n">
        <x:v>0.7581699346</x:v>
      </x:c>
      <x:c r="V55" s="6" t="n">
        <x:v>1</x:v>
      </x:c>
    </x:row>
    <x:row r="56" ht="28" customHeight="1">
      <x:c r="A56" s="4" t="str">
        <x:v>UCSD-PTGBM-0032_03</x:v>
      </x:c>
      <x:c r="B56" s="4" t="str">
        <x:v>UCSD-PTGBM-0032</x:v>
      </x:c>
      <x:c r="C56" s="4" t="str">
        <x:v>BraTS-GLI-02285-102</x:v>
      </x:c>
      <x:c r="D56" s="4" t="str">
        <x:v>BraTS-GLI-02285</x:v>
      </x:c>
      <x:c r="E56" s="4" t="str">
        <x:v>dualid:UCSD-PTGBM-0032</x:v>
      </x:c>
      <x:c r="F56" s="6" t="n">
        <x:v>1</x:v>
      </x:c>
      <x:c r="G56" s="4" t="str">
        <x:v>derived_from_published_243_equals_192_plus_51_partition</x:v>
      </x:c>
      <x:c r="H56" s="6" t="n">
        <x:v>72</x:v>
      </x:c>
      <x:c r="I56" s="6" t="n">
        <x:v>0</x:v>
      </x:c>
      <x:c r="J56" s="6" t="n">
        <x:v>0</x:v>
      </x:c>
      <x:c r="K56" s="6" t="n">
        <x:v>-172</x:v>
      </x:c>
      <x:c r="L56" s="6" t="n">
        <x:v>172</x:v>
      </x:c>
      <x:c r="M56" s="6" t="n">
        <x:v>5.1532915945</x:v>
      </x:c>
      <x:c r="N56" s="6" t="n">
        <x:v>0</x:v>
      </x:c>
      <x:c r="O56" s="4" t="str">
        <x:v>Glioblastoma</x:v>
      </x:c>
      <x:c r="P56" s="6" t="n">
        <x:v>2</x:v>
      </x:c>
      <x:c r="Q56" s="8" t="n">
        <x:v>0.7590100813</x:v>
      </x:c>
      <x:c r="R56" s="6" t="n">
        <x:v>1</x:v>
      </x:c>
      <x:c r="S56" s="8" t="n">
        <x:v>0.7270495453</x:v>
      </x:c>
      <x:c r="T56" s="6" t="n">
        <x:v>1</x:v>
      </x:c>
      <x:c r="U56" s="8" t="n">
        <x:v>0.7581699346</x:v>
      </x:c>
      <x:c r="V56" s="6" t="n">
        <x:v>1</x:v>
      </x:c>
    </x:row>
    <x:row r="57" ht="28" customHeight="1">
      <x:c r="A57" s="4" t="str">
        <x:v>UCSD-PTGBM-0032_04</x:v>
      </x:c>
      <x:c r="B57" s="4" t="str">
        <x:v>UCSD-PTGBM-0032</x:v>
      </x:c>
      <x:c r="C57" s="4" t="str">
        <x:v>BraTS-GLI-02285-103</x:v>
      </x:c>
      <x:c r="D57" s="4" t="str">
        <x:v>BraTS-GLI-02285</x:v>
      </x:c>
      <x:c r="E57" s="4" t="str">
        <x:v>dualid:UCSD-PTGBM-0032</x:v>
      </x:c>
      <x:c r="F57" s="6" t="n">
        <x:v>1</x:v>
      </x:c>
      <x:c r="G57" s="4" t="str">
        <x:v>derived_from_published_243_equals_192_plus_51_partition</x:v>
      </x:c>
      <x:c r="H57" s="6" t="n">
        <x:v>72</x:v>
      </x:c>
      <x:c r="I57" s="6" t="n">
        <x:v>0</x:v>
      </x:c>
      <x:c r="J57" s="6" t="n">
        <x:v>0</x:v>
      </x:c>
      <x:c r="K57" s="6" t="n">
        <x:v>-273</x:v>
      </x:c>
      <x:c r="L57" s="6" t="n">
        <x:v>273</x:v>
      </x:c>
      <x:c r="M57" s="6" t="n">
        <x:v>5.6131281064</x:v>
      </x:c>
      <x:c r="N57" s="6" t="n">
        <x:v>0</x:v>
      </x:c>
      <x:c r="O57" s="4" t="str">
        <x:v>Glioblastoma</x:v>
      </x:c>
      <x:c r="P57" s="6" t="n">
        <x:v>2</x:v>
      </x:c>
      <x:c r="Q57" s="8" t="n">
        <x:v>0.7590100813</x:v>
      </x:c>
      <x:c r="R57" s="6" t="n">
        <x:v>1</x:v>
      </x:c>
      <x:c r="S57" s="8" t="n">
        <x:v>0.6990278557</x:v>
      </x:c>
      <x:c r="T57" s="6" t="n">
        <x:v>1</x:v>
      </x:c>
      <x:c r="U57" s="8" t="n">
        <x:v>0.7581699346</x:v>
      </x:c>
      <x:c r="V57" s="6" t="n">
        <x:v>1</x:v>
      </x:c>
    </x:row>
    <x:row r="58" ht="28" customHeight="1">
      <x:c r="A58" s="4" t="str">
        <x:v>UCSD-PTGBM-0033_01</x:v>
      </x:c>
      <x:c r="B58" s="4" t="str">
        <x:v>UCSD-PTGBM-0033</x:v>
      </x:c>
      <x:c r="C58" s="4" t="str">
        <x:v>BraTS-GLI-02286-100</x:v>
      </x:c>
      <x:c r="D58" s="4" t="str">
        <x:v>BraTS-GLI-02286</x:v>
      </x:c>
      <x:c r="E58" s="4" t="str">
        <x:v>dualid:UCSD-PTGBM-0033</x:v>
      </x:c>
      <x:c r="F58" s="6" t="n">
        <x:v>1</x:v>
      </x:c>
      <x:c r="G58" s="4" t="str">
        <x:v>derived_from_published_243_equals_192_plus_51_partition</x:v>
      </x:c>
      <x:c r="H58" s="6" t="n">
        <x:v>69</x:v>
      </x:c>
      <x:c r="I58" s="6" t="n">
        <x:v>0</x:v>
      </x:c>
      <x:c r="J58" s="6" t="n">
        <x:v>0</x:v>
      </x:c>
      <x:c r="K58" s="6" t="n">
        <x:v>-98</x:v>
      </x:c>
      <x:c r="L58" s="6" t="n">
        <x:v>98</x:v>
      </x:c>
      <x:c r="M58" s="6" t="n">
        <x:v>4.5951198501</x:v>
      </x:c>
      <x:c r="N58" s="6" t="n">
        <x:v>0</x:v>
      </x:c>
      <x:c r="O58" s="4" t="str">
        <x:v>Glioblastoma</x:v>
      </x:c>
      <x:c r="P58" s="6" t="n">
        <x:v>5</x:v>
      </x:c>
      <x:c r="Q58" s="8" t="n">
        <x:v>0.8230884438</x:v>
      </x:c>
      <x:c r="R58" s="6" t="n">
        <x:v>1</x:v>
      </x:c>
      <x:c r="S58" s="8" t="n">
        <x:v>0.8354322226</x:v>
      </x:c>
      <x:c r="T58" s="6" t="n">
        <x:v>1</x:v>
      </x:c>
      <x:c r="U58" s="8" t="n">
        <x:v>0.7516339869</x:v>
      </x:c>
      <x:c r="V58" s="6" t="n">
        <x:v>1</x:v>
      </x:c>
    </x:row>
    <x:row r="59" ht="28" customHeight="1">
      <x:c r="A59" s="4" t="str">
        <x:v>UCSD-PTGBM-0033_02</x:v>
      </x:c>
      <x:c r="B59" s="4" t="str">
        <x:v>UCSD-PTGBM-0033</x:v>
      </x:c>
      <x:c r="C59" s="4" t="str">
        <x:v>BraTS-GLI-02286-101</x:v>
      </x:c>
      <x:c r="D59" s="4" t="str">
        <x:v>BraTS-GLI-02286</x:v>
      </x:c>
      <x:c r="E59" s="4" t="str">
        <x:v>dualid:UCSD-PTGBM-0033</x:v>
      </x:c>
      <x:c r="F59" s="6" t="n">
        <x:v>0</x:v>
      </x:c>
      <x:c r="G59" s="4" t="str">
        <x:v>explicit_negative_case_list</x:v>
      </x:c>
      <x:c r="H59" s="6" t="n">
        <x:v>69</x:v>
      </x:c>
      <x:c r="I59" s="6" t="n">
        <x:v>0</x:v>
      </x:c>
      <x:c r="J59" s="6" t="n">
        <x:v>0</x:v>
      </x:c>
      <x:c r="K59" s="6" t="n">
        <x:v>-156</x:v>
      </x:c>
      <x:c r="L59" s="6" t="n">
        <x:v>156</x:v>
      </x:c>
      <x:c r="M59" s="6" t="n">
        <x:v>5.0562458053</x:v>
      </x:c>
      <x:c r="N59" s="6" t="n">
        <x:v>0</x:v>
      </x:c>
      <x:c r="O59" s="4" t="str">
        <x:v>Glioblastoma</x:v>
      </x:c>
      <x:c r="P59" s="6" t="n">
        <x:v>5</x:v>
      </x:c>
      <x:c r="Q59" s="8" t="n">
        <x:v>0.8230884438</x:v>
      </x:c>
      <x:c r="R59" s="6" t="n">
        <x:v>1</x:v>
      </x:c>
      <x:c r="S59" s="8" t="n">
        <x:v>0.7993084673</x:v>
      </x:c>
      <x:c r="T59" s="6" t="n">
        <x:v>1</x:v>
      </x:c>
      <x:c r="U59" s="8" t="n">
        <x:v>0.7516339869</x:v>
      </x:c>
      <x:c r="V59" s="6" t="n">
        <x:v>1</x:v>
      </x:c>
    </x:row>
    <x:row r="60" ht="28" customHeight="1">
      <x:c r="A60" s="4" t="str">
        <x:v>UCSD-PTGBM-0033_03</x:v>
      </x:c>
      <x:c r="B60" s="4" t="str">
        <x:v>UCSD-PTGBM-0033</x:v>
      </x:c>
      <x:c r="C60" s="4" t="str">
        <x:v>BraTS-GLI-02286-102</x:v>
      </x:c>
      <x:c r="D60" s="4" t="str">
        <x:v>BraTS-GLI-02286</x:v>
      </x:c>
      <x:c r="E60" s="4" t="str">
        <x:v>dualid:UCSD-PTGBM-0033</x:v>
      </x:c>
      <x:c r="F60" s="6" t="n">
        <x:v>1</x:v>
      </x:c>
      <x:c r="G60" s="4" t="str">
        <x:v>derived_from_published_243_equals_192_plus_51_partition</x:v>
      </x:c>
      <x:c r="H60" s="6" t="n">
        <x:v>69</x:v>
      </x:c>
      <x:c r="I60" s="6" t="n">
        <x:v>0</x:v>
      </x:c>
      <x:c r="J60" s="6" t="n">
        <x:v>0</x:v>
      </x:c>
      <x:c r="K60" s="6" t="n">
        <x:v>-189</x:v>
      </x:c>
      <x:c r="L60" s="6" t="n">
        <x:v>189</x:v>
      </x:c>
      <x:c r="M60" s="6" t="n">
        <x:v>5.2470240722</x:v>
      </x:c>
      <x:c r="N60" s="6" t="n">
        <x:v>0</x:v>
      </x:c>
      <x:c r="O60" s="4" t="str">
        <x:v>Glioblastoma</x:v>
      </x:c>
      <x:c r="P60" s="6" t="n">
        <x:v>5</x:v>
      </x:c>
      <x:c r="Q60" s="8" t="n">
        <x:v>0.8230884438</x:v>
      </x:c>
      <x:c r="R60" s="6" t="n">
        <x:v>1</x:v>
      </x:c>
      <x:c r="S60" s="8" t="n">
        <x:v>0.7827200599</x:v>
      </x:c>
      <x:c r="T60" s="6" t="n">
        <x:v>1</x:v>
      </x:c>
      <x:c r="U60" s="8" t="n">
        <x:v>0.7516339869</x:v>
      </x:c>
      <x:c r="V60" s="6" t="n">
        <x:v>1</x:v>
      </x:c>
    </x:row>
    <x:row r="61" ht="28" customHeight="1">
      <x:c r="A61" s="4" t="str">
        <x:v>UCSD-PTGBM-0035_01</x:v>
      </x:c>
      <x:c r="B61" s="4" t="str">
        <x:v>UCSD-PTGBM-0035</x:v>
      </x:c>
      <x:c r="C61" s="4" t="str">
        <x:v>BraTS-GLI-02288-100</x:v>
      </x:c>
      <x:c r="D61" s="4" t="str">
        <x:v>BraTS-GLI-02288</x:v>
      </x:c>
      <x:c r="E61" s="4" t="str">
        <x:v>dualid:UCSD-PTGBM-0035</x:v>
      </x:c>
      <x:c r="F61" s="6" t="n">
        <x:v>1</x:v>
      </x:c>
      <x:c r="G61" s="4" t="str">
        <x:v>derived_from_published_243_equals_192_plus_51_partition</x:v>
      </x:c>
      <x:c r="H61" s="6" t="n">
        <x:v>36</x:v>
      </x:c>
      <x:c r="I61" s="6" t="n">
        <x:v>1</x:v>
      </x:c>
      <x:c r="J61" s="6" t="n">
        <x:v>0</x:v>
      </x:c>
      <x:c r="K61" s="6" t="n">
        <x:v>-1609</x:v>
      </x:c>
      <x:c r="L61" s="6" t="n">
        <x:v>1609</x:v>
      </x:c>
      <x:c r="M61" s="6" t="n">
        <x:v>7.383989458</x:v>
      </x:c>
      <x:c r="N61" s="6" t="n">
        <x:v>0</x:v>
      </x:c>
      <x:c r="O61" s="4" t="str">
        <x:v>Glioblastoma</x:v>
      </x:c>
      <x:c r="P61" s="6" t="n">
        <x:v>5</x:v>
      </x:c>
      <x:c r="Q61" s="8" t="n">
        <x:v>0.6554886578</x:v>
      </x:c>
      <x:c r="R61" s="6" t="n">
        <x:v>1</x:v>
      </x:c>
      <x:c r="S61" s="8" t="n">
        <x:v>0.3626374467</x:v>
      </x:c>
      <x:c r="T61" s="6" t="n">
        <x:v>0</x:v>
      </x:c>
      <x:c r="U61" s="8" t="n">
        <x:v>0.7516339869</x:v>
      </x:c>
      <x:c r="V61" s="6" t="n">
        <x:v>1</x:v>
      </x:c>
    </x:row>
    <x:row r="62" ht="28" customHeight="1">
      <x:c r="A62" s="4" t="str">
        <x:v>UCSD-PTGBM-0037_01</x:v>
      </x:c>
      <x:c r="B62" s="4" t="str">
        <x:v>UCSD-PTGBM-0037</x:v>
      </x:c>
      <x:c r="C62" s="4" t="str">
        <x:v>BraTS-GLI-02290-100</x:v>
      </x:c>
      <x:c r="D62" s="4" t="str">
        <x:v>BraTS-GLI-02290</x:v>
      </x:c>
      <x:c r="E62" s="4" t="str">
        <x:v>dualid:UCSD-PTGBM-0037</x:v>
      </x:c>
      <x:c r="F62" s="6" t="n">
        <x:v>1</x:v>
      </x:c>
      <x:c r="G62" s="4" t="str">
        <x:v>derived_from_published_243_equals_192_plus_51_partition</x:v>
      </x:c>
      <x:c r="H62" s="6" t="n">
        <x:v>44</x:v>
      </x:c>
      <x:c r="I62" s="6" t="n">
        <x:v>1</x:v>
      </x:c>
      <x:c r="J62" s="6" t="n">
        <x:v>1</x:v>
      </x:c>
      <x:c r="K62" s="6" t="n">
        <x:v>-1097</x:v>
      </x:c>
      <x:c r="L62" s="6" t="n">
        <x:v>1097</x:v>
      </x:c>
      <x:c r="M62" s="6" t="n">
        <x:v>7.0012456221</x:v>
      </x:c>
      <x:c r="N62" s="6" t="n">
        <x:v>0</x:v>
      </x:c>
      <x:c r="O62" s="4" t="str">
        <x:v>Glioblastoma</x:v>
      </x:c>
      <x:c r="P62" s="6" t="n">
        <x:v>4</x:v>
      </x:c>
      <x:c r="Q62" s="8" t="n">
        <x:v>0.7266848163</x:v>
      </x:c>
      <x:c r="R62" s="6" t="n">
        <x:v>1</x:v>
      </x:c>
      <x:c r="S62" s="8" t="n">
        <x:v>0.5615959682</x:v>
      </x:c>
      <x:c r="T62" s="6" t="n">
        <x:v>1</x:v>
      </x:c>
      <x:c r="U62" s="8" t="n">
        <x:v>0.7516339869</x:v>
      </x:c>
      <x:c r="V62" s="6" t="n">
        <x:v>1</x:v>
      </x:c>
    </x:row>
    <x:row r="63" ht="28" customHeight="1">
      <x:c r="A63" s="4" t="str">
        <x:v>UCSD-PTGBM-0037_02</x:v>
      </x:c>
      <x:c r="B63" s="4" t="str">
        <x:v>UCSD-PTGBM-0037</x:v>
      </x:c>
      <x:c r="C63" s="4" t="str">
        <x:v>BraTS-GLI-02290-101</x:v>
      </x:c>
      <x:c r="D63" s="4" t="str">
        <x:v>BraTS-GLI-02290</x:v>
      </x:c>
      <x:c r="E63" s="4" t="str">
        <x:v>dualid:UCSD-PTGBM-0037</x:v>
      </x:c>
      <x:c r="F63" s="6" t="n">
        <x:v>1</x:v>
      </x:c>
      <x:c r="G63" s="4" t="str">
        <x:v>derived_from_published_243_equals_192_plus_51_partition</x:v>
      </x:c>
      <x:c r="H63" s="6" t="n">
        <x:v>44</x:v>
      </x:c>
      <x:c r="I63" s="6" t="n">
        <x:v>1</x:v>
      </x:c>
      <x:c r="J63" s="6" t="n">
        <x:v>1</x:v>
      </x:c>
      <x:c r="K63" s="6" t="n">
        <x:v>-1114</x:v>
      </x:c>
      <x:c r="L63" s="6" t="n">
        <x:v>1114</x:v>
      </x:c>
      <x:c r="M63" s="6" t="n">
        <x:v>7.0166096839</x:v>
      </x:c>
      <x:c r="N63" s="6" t="n">
        <x:v>0</x:v>
      </x:c>
      <x:c r="O63" s="4" t="str">
        <x:v>Glioblastoma</x:v>
      </x:c>
      <x:c r="P63" s="6" t="n">
        <x:v>4</x:v>
      </x:c>
      <x:c r="Q63" s="8" t="n">
        <x:v>0.7266848163</x:v>
      </x:c>
      <x:c r="R63" s="6" t="n">
        <x:v>1</x:v>
      </x:c>
      <x:c r="S63" s="8" t="n">
        <x:v>0.5594600194</x:v>
      </x:c>
      <x:c r="T63" s="6" t="n">
        <x:v>1</x:v>
      </x:c>
      <x:c r="U63" s="8" t="n">
        <x:v>0.7516339869</x:v>
      </x:c>
      <x:c r="V63" s="6" t="n">
        <x:v>1</x:v>
      </x:c>
    </x:row>
    <x:row r="64" ht="28" customHeight="1">
      <x:c r="A64" s="4" t="str">
        <x:v>UCSD-PTGBM-0037_03</x:v>
      </x:c>
      <x:c r="B64" s="4" t="str">
        <x:v>UCSD-PTGBM-0037</x:v>
      </x:c>
      <x:c r="C64" s="4" t="str">
        <x:v>BraTS-GLI-02290-102</x:v>
      </x:c>
      <x:c r="D64" s="4" t="str">
        <x:v>BraTS-GLI-02290</x:v>
      </x:c>
      <x:c r="E64" s="4" t="str">
        <x:v>dualid:UCSD-PTGBM-0037</x:v>
      </x:c>
      <x:c r="F64" s="6" t="n">
        <x:v>1</x:v>
      </x:c>
      <x:c r="G64" s="4" t="str">
        <x:v>derived_from_published_243_equals_192_plus_51_partition</x:v>
      </x:c>
      <x:c r="H64" s="6" t="n">
        <x:v>44</x:v>
      </x:c>
      <x:c r="I64" s="6" t="n">
        <x:v>1</x:v>
      </x:c>
      <x:c r="J64" s="6" t="n">
        <x:v>1</x:v>
      </x:c>
      <x:c r="K64" s="6" t="n">
        <x:v>-1141</x:v>
      </x:c>
      <x:c r="L64" s="6" t="n">
        <x:v>1141</x:v>
      </x:c>
      <x:c r="M64" s="6" t="n">
        <x:v>7.0405363902</x:v>
      </x:c>
      <x:c r="N64" s="6" t="n">
        <x:v>0</x:v>
      </x:c>
      <x:c r="O64" s="4" t="str">
        <x:v>Glioblastoma</x:v>
      </x:c>
      <x:c r="P64" s="6" t="n">
        <x:v>4</x:v>
      </x:c>
      <x:c r="Q64" s="8" t="n">
        <x:v>0.7266848163</x:v>
      </x:c>
      <x:c r="R64" s="6" t="n">
        <x:v>1</x:v>
      </x:c>
      <x:c r="S64" s="8" t="n">
        <x:v>0.5561293117</x:v>
      </x:c>
      <x:c r="T64" s="6" t="n">
        <x:v>1</x:v>
      </x:c>
      <x:c r="U64" s="8" t="n">
        <x:v>0.7516339869</x:v>
      </x:c>
      <x:c r="V64" s="6" t="n">
        <x:v>1</x:v>
      </x:c>
    </x:row>
    <x:row r="65" ht="28" customHeight="1">
      <x:c r="A65" s="4" t="str">
        <x:v>UCSD-PTGBM-0039_01</x:v>
      </x:c>
      <x:c r="B65" s="4" t="str">
        <x:v>UCSD-PTGBM-0039</x:v>
      </x:c>
      <x:c r="C65" s="4" t="str">
        <x:v>BraTS-GLI-02292-100</x:v>
      </x:c>
      <x:c r="D65" s="4" t="str">
        <x:v>BraTS-GLI-02292</x:v>
      </x:c>
      <x:c r="E65" s="4" t="str">
        <x:v>dualid:UCSD-PTGBM-0039</x:v>
      </x:c>
      <x:c r="F65" s="6" t="n">
        <x:v>1</x:v>
      </x:c>
      <x:c r="G65" s="4" t="str">
        <x:v>derived_from_published_243_equals_192_plus_51_partition</x:v>
      </x:c>
      <x:c r="H65" s="6" t="n">
        <x:v>64</x:v>
      </x:c>
      <x:c r="I65" s="6" t="n">
        <x:v>0</x:v>
      </x:c>
      <x:c r="J65" s="6" t="n">
        <x:v>1</x:v>
      </x:c>
      <x:c r="K65" s="6" t="n">
        <x:v>-477</x:v>
      </x:c>
      <x:c r="L65" s="6" t="n">
        <x:v>477</x:v>
      </x:c>
      <x:c r="M65" s="6" t="n">
        <x:v>6.1696107325</x:v>
      </x:c>
      <x:c r="N65" s="6" t="n">
        <x:v>0</x:v>
      </x:c>
      <x:c r="O65" s="4" t="str">
        <x:v>Glioblastoma</x:v>
      </x:c>
      <x:c r="P65" s="6" t="n">
        <x:v>3</x:v>
      </x:c>
      <x:c r="Q65" s="8" t="n">
        <x:v>0.7621953973</x:v>
      </x:c>
      <x:c r="R65" s="6" t="n">
        <x:v>1</x:v>
      </x:c>
      <x:c r="S65" s="8" t="n">
        <x:v>0.7418480955</x:v>
      </x:c>
      <x:c r="T65" s="6" t="n">
        <x:v>1</x:v>
      </x:c>
      <x:c r="U65" s="8" t="n">
        <x:v>0.7548387097</x:v>
      </x:c>
      <x:c r="V65" s="6" t="n">
        <x:v>1</x:v>
      </x:c>
    </x:row>
    <x:row r="66" ht="28" customHeight="1">
      <x:c r="A66" s="4" t="str">
        <x:v>UCSD-PTGBM-0040_01</x:v>
      </x:c>
      <x:c r="B66" s="4" t="str">
        <x:v>UCSD-PTGBM-0040</x:v>
      </x:c>
      <x:c r="C66" s="4" t="str">
        <x:v>BraTS-GLI-02293-100</x:v>
      </x:c>
      <x:c r="D66" s="4" t="str">
        <x:v>BraTS-GLI-02293</x:v>
      </x:c>
      <x:c r="E66" s="4" t="str">
        <x:v>dualid:UCSD-PTGBM-0040</x:v>
      </x:c>
      <x:c r="F66" s="6" t="n">
        <x:v>1</x:v>
      </x:c>
      <x:c r="G66" s="4" t="str">
        <x:v>derived_from_published_243_equals_192_plus_51_partition</x:v>
      </x:c>
      <x:c r="H66" s="6" t="n">
        <x:v>62</x:v>
      </x:c>
      <x:c r="I66" s="6" t="n">
        <x:v>0</x:v>
      </x:c>
      <x:c r="J66" s="6" t="n">
        <x:v>0</x:v>
      </x:c>
      <x:c r="K66" s="6" t="n">
        <x:v>-303</x:v>
      </x:c>
      <x:c r="L66" s="6" t="n">
        <x:v>303</x:v>
      </x:c>
      <x:c r="M66" s="6" t="n">
        <x:v>5.7170277014</x:v>
      </x:c>
      <x:c r="N66" s="6" t="n">
        <x:v>0</x:v>
      </x:c>
      <x:c r="O66" s="4" t="str">
        <x:v>Glioblastoma</x:v>
      </x:c>
      <x:c r="P66" s="6" t="n">
        <x:v>1</x:v>
      </x:c>
      <x:c r="Q66" s="8" t="n">
        <x:v>0.7959665028</x:v>
      </x:c>
      <x:c r="R66" s="6" t="n">
        <x:v>1</x:v>
      </x:c>
      <x:c r="S66" s="8" t="n">
        <x:v>0.739413904</x:v>
      </x:c>
      <x:c r="T66" s="6" t="n">
        <x:v>1</x:v>
      </x:c>
      <x:c r="U66" s="8" t="n">
        <x:v>0.7597402597</x:v>
      </x:c>
      <x:c r="V66" s="6" t="n">
        <x:v>1</x:v>
      </x:c>
    </x:row>
    <x:row r="67" ht="28" customHeight="1">
      <x:c r="A67" s="4" t="str">
        <x:v>UCSD-PTGBM-0042_01</x:v>
      </x:c>
      <x:c r="B67" s="4" t="str">
        <x:v>UCSD-PTGBM-0042</x:v>
      </x:c>
      <x:c r="C67" s="4" t="str">
        <x:v>BraTS-GLI-02295-100</x:v>
      </x:c>
      <x:c r="D67" s="4" t="str">
        <x:v>BraTS-GLI-02295</x:v>
      </x:c>
      <x:c r="E67" s="4" t="str">
        <x:v>dualid:UCSD-PTGBM-0042</x:v>
      </x:c>
      <x:c r="F67" s="6" t="n">
        <x:v>1</x:v>
      </x:c>
      <x:c r="G67" s="4" t="str">
        <x:v>derived_from_published_243_equals_192_plus_51_partition</x:v>
      </x:c>
      <x:c r="H67" s="6" t="n">
        <x:v>29</x:v>
      </x:c>
      <x:c r="I67" s="6" t="n">
        <x:v>0</x:v>
      </x:c>
      <x:c r="J67" s="6" t="n">
        <x:v>1</x:v>
      </x:c>
      <x:c r="K67" s="6" t="n">
        <x:v>-670</x:v>
      </x:c>
      <x:c r="L67" s="6" t="n">
        <x:v>670</x:v>
      </x:c>
      <x:c r="M67" s="6" t="n">
        <x:v>6.508769137</x:v>
      </x:c>
      <x:c r="N67" s="6" t="n">
        <x:v>0</x:v>
      </x:c>
      <x:c r="O67" s="4" t="str">
        <x:v>Astrocytoma, IDH-Mutant, Grade 4</x:v>
      </x:c>
      <x:c r="P67" s="6" t="n">
        <x:v>3</x:v>
      </x:c>
      <x:c r="Q67" s="8" t="n">
        <x:v>0.5433749012</x:v>
      </x:c>
      <x:c r="R67" s="6" t="n">
        <x:v>1</x:v>
      </x:c>
      <x:c r="S67" s="8" t="n">
        <x:v>0.6344317795</x:v>
      </x:c>
      <x:c r="T67" s="6" t="n">
        <x:v>1</x:v>
      </x:c>
      <x:c r="U67" s="8" t="n">
        <x:v>0.7548387097</x:v>
      </x:c>
      <x:c r="V67" s="6" t="n">
        <x:v>1</x:v>
      </x:c>
    </x:row>
    <x:row r="68" ht="28" customHeight="1">
      <x:c r="A68" s="4" t="str">
        <x:v>UCSD-PTGBM-0042_02</x:v>
      </x:c>
      <x:c r="B68" s="4" t="str">
        <x:v>UCSD-PTGBM-0042</x:v>
      </x:c>
      <x:c r="C68" s="4" t="str">
        <x:v>BraTS-GLI-02295-101</x:v>
      </x:c>
      <x:c r="D68" s="4" t="str">
        <x:v>BraTS-GLI-02295</x:v>
      </x:c>
      <x:c r="E68" s="4" t="str">
        <x:v>dualid:UCSD-PTGBM-0042</x:v>
      </x:c>
      <x:c r="F68" s="6" t="n">
        <x:v>1</x:v>
      </x:c>
      <x:c r="G68" s="4" t="str">
        <x:v>derived_from_published_243_equals_192_plus_51_partition</x:v>
      </x:c>
      <x:c r="H68" s="6" t="n">
        <x:v>29</x:v>
      </x:c>
      <x:c r="I68" s="6" t="n">
        <x:v>0</x:v>
      </x:c>
      <x:c r="J68" s="6" t="n">
        <x:v>1</x:v>
      </x:c>
      <x:c r="K68" s="6" t="n">
        <x:v>-700</x:v>
      </x:c>
      <x:c r="L68" s="6" t="n">
        <x:v>700</x:v>
      </x:c>
      <x:c r="M68" s="6" t="n">
        <x:v>6.552507887</x:v>
      </x:c>
      <x:c r="N68" s="6" t="n">
        <x:v>0</x:v>
      </x:c>
      <x:c r="O68" s="4" t="str">
        <x:v>Astrocytoma, IDH-Mutant, Grade 4</x:v>
      </x:c>
      <x:c r="P68" s="6" t="n">
        <x:v>3</x:v>
      </x:c>
      <x:c r="Q68" s="8" t="n">
        <x:v>0.5433749012</x:v>
      </x:c>
      <x:c r="R68" s="6" t="n">
        <x:v>1</x:v>
      </x:c>
      <x:c r="S68" s="8" t="n">
        <x:v>0.6281052641</x:v>
      </x:c>
      <x:c r="T68" s="6" t="n">
        <x:v>1</x:v>
      </x:c>
      <x:c r="U68" s="8" t="n">
        <x:v>0.7548387097</x:v>
      </x:c>
      <x:c r="V68" s="6" t="n">
        <x:v>1</x:v>
      </x:c>
    </x:row>
    <x:row r="69" ht="28" customHeight="1">
      <x:c r="A69" s="4" t="str">
        <x:v>UCSD-PTGBM-0042_03</x:v>
      </x:c>
      <x:c r="B69" s="4" t="str">
        <x:v>UCSD-PTGBM-0042</x:v>
      </x:c>
      <x:c r="C69" s="4" t="str">
        <x:v>BraTS-GLI-02295-102</x:v>
      </x:c>
      <x:c r="D69" s="4" t="str">
        <x:v>BraTS-GLI-02295</x:v>
      </x:c>
      <x:c r="E69" s="4" t="str">
        <x:v>dualid:UCSD-PTGBM-0042</x:v>
      </x:c>
      <x:c r="F69" s="6" t="n">
        <x:v>1</x:v>
      </x:c>
      <x:c r="G69" s="4" t="str">
        <x:v>derived_from_published_243_equals_192_plus_51_partition</x:v>
      </x:c>
      <x:c r="H69" s="6" t="n">
        <x:v>29</x:v>
      </x:c>
      <x:c r="I69" s="6" t="n">
        <x:v>0</x:v>
      </x:c>
      <x:c r="J69" s="6" t="n">
        <x:v>1</x:v>
      </x:c>
      <x:c r="K69" s="6" t="n">
        <x:v>-761</x:v>
      </x:c>
      <x:c r="L69" s="6" t="n">
        <x:v>761</x:v>
      </x:c>
      <x:c r="M69" s="6" t="n">
        <x:v>6.6359465557</x:v>
      </x:c>
      <x:c r="N69" s="6" t="n">
        <x:v>0</x:v>
      </x:c>
      <x:c r="O69" s="4" t="str">
        <x:v>Astrocytoma, IDH-Mutant, Grade 4</x:v>
      </x:c>
      <x:c r="P69" s="6" t="n">
        <x:v>3</x:v>
      </x:c>
      <x:c r="Q69" s="8" t="n">
        <x:v>0.5433749012</x:v>
      </x:c>
      <x:c r="R69" s="6" t="n">
        <x:v>1</x:v>
      </x:c>
      <x:c r="S69" s="8" t="n">
        <x:v>0.6159154202</x:v>
      </x:c>
      <x:c r="T69" s="6" t="n">
        <x:v>1</x:v>
      </x:c>
      <x:c r="U69" s="8" t="n">
        <x:v>0.7548387097</x:v>
      </x:c>
      <x:c r="V69" s="6" t="n">
        <x:v>1</x:v>
      </x:c>
    </x:row>
    <x:row r="70" ht="28" customHeight="1">
      <x:c r="A70" s="4" t="str">
        <x:v>UCSD-PTGBM-0043_01</x:v>
      </x:c>
      <x:c r="B70" s="4" t="str">
        <x:v>UCSD-PTGBM-0043</x:v>
      </x:c>
      <x:c r="C70" s="4" t="str">
        <x:v>BraTS-GLI-02296-100</x:v>
      </x:c>
      <x:c r="D70" s="4" t="str">
        <x:v>BraTS-GLI-02296</x:v>
      </x:c>
      <x:c r="E70" s="4" t="str">
        <x:v>dualid:UCSD-PTGBM-0043</x:v>
      </x:c>
      <x:c r="F70" s="6" t="n">
        <x:v>0</x:v>
      </x:c>
      <x:c r="G70" s="4" t="str">
        <x:v>explicit_negative_case_list</x:v>
      </x:c>
      <x:c r="H70" s="6" t="n">
        <x:v>45</x:v>
      </x:c>
      <x:c r="I70" s="6" t="n">
        <x:v>0</x:v>
      </x:c>
      <x:c r="J70" s="6" t="n">
        <x:v>1</x:v>
      </x:c>
      <x:c r="K70" s="6" t="n">
        <x:v>-680</x:v>
      </x:c>
      <x:c r="L70" s="6" t="n">
        <x:v>680</x:v>
      </x:c>
      <x:c r="M70" s="6" t="n">
        <x:v>6.5235623061</x:v>
      </x:c>
      <x:c r="N70" s="6" t="n">
        <x:v>0</x:v>
      </x:c>
      <x:c r="O70" s="4" t="str">
        <x:v>Astrocytoma, IDH-Mutant, Grade 5</x:v>
      </x:c>
      <x:c r="P70" s="6" t="n">
        <x:v>3</x:v>
      </x:c>
      <x:c r="Q70" s="8" t="n">
        <x:v>0.6517820456</x:v>
      </x:c>
      <x:c r="R70" s="6" t="n">
        <x:v>1</x:v>
      </x:c>
      <x:c r="S70" s="8" t="n">
        <x:v>0.6629087262</x:v>
      </x:c>
      <x:c r="T70" s="6" t="n">
        <x:v>1</x:v>
      </x:c>
      <x:c r="U70" s="8" t="n">
        <x:v>0.7548387097</x:v>
      </x:c>
      <x:c r="V70" s="6" t="n">
        <x:v>1</x:v>
      </x:c>
    </x:row>
    <x:row r="71" ht="28" customHeight="1">
      <x:c r="A71" s="4" t="str">
        <x:v>UCSD-PTGBM-0044_01</x:v>
      </x:c>
      <x:c r="B71" s="4" t="str">
        <x:v>UCSD-PTGBM-0044</x:v>
      </x:c>
      <x:c r="C71" s="4" t="str">
        <x:v>BraTS-GLI-02297-100</x:v>
      </x:c>
      <x:c r="D71" s="4" t="str">
        <x:v>BraTS-GLI-02297</x:v>
      </x:c>
      <x:c r="E71" s="4" t="str">
        <x:v>dualid:UCSD-PTGBM-0044</x:v>
      </x:c>
      <x:c r="F71" s="6" t="n">
        <x:v>1</x:v>
      </x:c>
      <x:c r="G71" s="4" t="str">
        <x:v>derived_from_published_243_equals_192_plus_51_partition</x:v>
      </x:c>
      <x:c r="H71" s="6" t="n">
        <x:v>54</x:v>
      </x:c>
      <x:c r="I71" s="6" t="n">
        <x:v>0</x:v>
      </x:c>
      <x:c r="J71" s="6" t="n">
        <x:v>1</x:v>
      </x:c>
      <x:c r="K71" s="6" t="n">
        <x:v>-1037</x:v>
      </x:c>
      <x:c r="L71" s="6" t="n">
        <x:v>1037</x:v>
      </x:c>
      <x:c r="M71" s="6" t="n">
        <x:v>6.9450510637</x:v>
      </x:c>
      <x:c r="N71" s="6" t="n">
        <x:v>0</x:v>
      </x:c>
      <x:c r="O71" s="4" t="str">
        <x:v>Glioblastoma</x:v>
      </x:c>
      <x:c r="P71" s="6" t="n">
        <x:v>2</x:v>
      </x:c>
      <x:c r="Q71" s="8" t="n">
        <x:v>0.6796276888</x:v>
      </x:c>
      <x:c r="R71" s="6" t="n">
        <x:v>1</x:v>
      </x:c>
      <x:c r="S71" s="8" t="n">
        <x:v>0.7127213924</x:v>
      </x:c>
      <x:c r="T71" s="6" t="n">
        <x:v>1</x:v>
      </x:c>
      <x:c r="U71" s="8" t="n">
        <x:v>0.7581699346</x:v>
      </x:c>
      <x:c r="V71" s="6" t="n">
        <x:v>1</x:v>
      </x:c>
    </x:row>
    <x:row r="72" ht="28" customHeight="1">
      <x:c r="A72" s="4" t="str">
        <x:v>UCSD-PTGBM-0045_01</x:v>
      </x:c>
      <x:c r="B72" s="4" t="str">
        <x:v>UCSD-PTGBM-0045</x:v>
      </x:c>
      <x:c r="C72" s="4" t="str">
        <x:v>BraTS-GLI-02298-100</x:v>
      </x:c>
      <x:c r="D72" s="4" t="str">
        <x:v>BraTS-GLI-02298</x:v>
      </x:c>
      <x:c r="E72" s="4" t="str">
        <x:v>dualid:UCSD-PTGBM-0045</x:v>
      </x:c>
      <x:c r="F72" s="6" t="n">
        <x:v>1</x:v>
      </x:c>
      <x:c r="G72" s="4" t="str">
        <x:v>derived_from_published_243_equals_192_plus_51_partition</x:v>
      </x:c>
      <x:c r="H72" s="6" t="n">
        <x:v>62</x:v>
      </x:c>
      <x:c r="I72" s="6" t="n">
        <x:v>0</x:v>
      </x:c>
      <x:c r="J72" s="6" t="n">
        <x:v>1</x:v>
      </x:c>
      <x:c r="K72" s="6" t="n">
        <x:v>-302</x:v>
      </x:c>
      <x:c r="L72" s="6" t="n">
        <x:v>302</x:v>
      </x:c>
      <x:c r="M72" s="6" t="n">
        <x:v>5.7137328055</x:v>
      </x:c>
      <x:c r="N72" s="6" t="n">
        <x:v>0</x:v>
      </x:c>
      <x:c r="O72" s="4" t="str">
        <x:v>Glioblastoma</x:v>
      </x:c>
      <x:c r="P72" s="6" t="n">
        <x:v>5</x:v>
      </x:c>
      <x:c r="Q72" s="8" t="n">
        <x:v>0.7931134749</x:v>
      </x:c>
      <x:c r="R72" s="6" t="n">
        <x:v>1</x:v>
      </x:c>
      <x:c r="S72" s="8" t="n">
        <x:v>0.8379765742</x:v>
      </x:c>
      <x:c r="T72" s="6" t="n">
        <x:v>1</x:v>
      </x:c>
      <x:c r="U72" s="8" t="n">
        <x:v>0.7516339869</x:v>
      </x:c>
      <x:c r="V72" s="6" t="n">
        <x:v>1</x:v>
      </x:c>
    </x:row>
    <x:row r="73" ht="28" customHeight="1">
      <x:c r="A73" s="4" t="str">
        <x:v>UCSD-PTGBM-0046_01</x:v>
      </x:c>
      <x:c r="B73" s="4" t="str">
        <x:v>UCSD-PTGBM-0046</x:v>
      </x:c>
      <x:c r="C73" s="4" t="str">
        <x:v>BraTS-GLI-02299-100</x:v>
      </x:c>
      <x:c r="D73" s="4" t="str">
        <x:v>BraTS-GLI-02299</x:v>
      </x:c>
      <x:c r="E73" s="4" t="str">
        <x:v>dualid:UCSD-PTGBM-0046</x:v>
      </x:c>
      <x:c r="F73" s="6" t="n">
        <x:v>1</x:v>
      </x:c>
      <x:c r="G73" s="4" t="str">
        <x:v>derived_from_published_243_equals_192_plus_51_partition</x:v>
      </x:c>
      <x:c r="H73" s="6" t="n">
        <x:v>45</x:v>
      </x:c>
      <x:c r="I73" s="6" t="n">
        <x:v>0</x:v>
      </x:c>
      <x:c r="J73" s="6" t="n">
        <x:v>0</x:v>
      </x:c>
      <x:c r="K73" s="6" t="n">
        <x:v>-357</x:v>
      </x:c>
      <x:c r="L73" s="6" t="n">
        <x:v>357</x:v>
      </x:c>
      <x:c r="M73" s="6" t="n">
        <x:v>5.8805329864</x:v>
      </x:c>
      <x:c r="N73" s="6" t="n">
        <x:v>0</x:v>
      </x:c>
      <x:c r="O73" s="4" t="str">
        <x:v>Astrocytoma, IDH-Mutant, Grade 4</x:v>
      </x:c>
      <x:c r="P73" s="6" t="n">
        <x:v>4</x:v>
      </x:c>
      <x:c r="Q73" s="8" t="n">
        <x:v>0.6796641266</x:v>
      </x:c>
      <x:c r="R73" s="6" t="n">
        <x:v>1</x:v>
      </x:c>
      <x:c r="S73" s="8" t="n">
        <x:v>0.6418926572</x:v>
      </x:c>
      <x:c r="T73" s="6" t="n">
        <x:v>1</x:v>
      </x:c>
      <x:c r="U73" s="8" t="n">
        <x:v>0.7516339869</x:v>
      </x:c>
      <x:c r="V73" s="6" t="n">
        <x:v>1</x:v>
      </x:c>
    </x:row>
    <x:row r="74" ht="28" customHeight="1">
      <x:c r="A74" s="4" t="str">
        <x:v>UCSD-PTGBM-0047_01</x:v>
      </x:c>
      <x:c r="B74" s="4" t="str">
        <x:v>UCSD-PTGBM-0047</x:v>
      </x:c>
      <x:c r="C74" s="4" t="str">
        <x:v>BraTS-GLI-02300-100</x:v>
      </x:c>
      <x:c r="D74" s="4" t="str">
        <x:v>BraTS-GLI-02300</x:v>
      </x:c>
      <x:c r="E74" s="4" t="str">
        <x:v>dualid:UCSD-PTGBM-0047</x:v>
      </x:c>
      <x:c r="F74" s="6" t="n">
        <x:v>1</x:v>
      </x:c>
      <x:c r="G74" s="4" t="str">
        <x:v>derived_from_published_243_equals_192_plus_51_partition</x:v>
      </x:c>
      <x:c r="H74" s="6" t="n">
        <x:v>58</x:v>
      </x:c>
      <x:c r="I74" s="6" t="n">
        <x:v>0</x:v>
      </x:c>
      <x:c r="J74" s="6" t="n">
        <x:v>0</x:v>
      </x:c>
      <x:c r="K74" s="6" t="n">
        <x:v>-157</x:v>
      </x:c>
      <x:c r="L74" s="6" t="n">
        <x:v>157</x:v>
      </x:c>
      <x:c r="M74" s="6" t="n">
        <x:v>5.062595033</x:v>
      </x:c>
      <x:c r="N74" s="6" t="n">
        <x:v>0</x:v>
      </x:c>
      <x:c r="O74" s="4" t="str">
        <x:v>Glioblastoma</x:v>
      </x:c>
      <x:c r="P74" s="6" t="n">
        <x:v>3</x:v>
      </x:c>
      <x:c r="Q74" s="8" t="n">
        <x:v>0.7300545392</x:v>
      </x:c>
      <x:c r="R74" s="6" t="n">
        <x:v>1</x:v>
      </x:c>
      <x:c r="S74" s="8" t="n">
        <x:v>0.7141035165</x:v>
      </x:c>
      <x:c r="T74" s="6" t="n">
        <x:v>1</x:v>
      </x:c>
      <x:c r="U74" s="8" t="n">
        <x:v>0.7548387097</x:v>
      </x:c>
      <x:c r="V74" s="6" t="n">
        <x:v>1</x:v>
      </x:c>
    </x:row>
    <x:row r="75" ht="28" customHeight="1">
      <x:c r="A75" s="4" t="str">
        <x:v>UCSD-PTGBM-0047_02</x:v>
      </x:c>
      <x:c r="B75" s="4" t="str">
        <x:v>UCSD-PTGBM-0047</x:v>
      </x:c>
      <x:c r="C75" s="4" t="str">
        <x:v>BraTS-GLI-02300-101</x:v>
      </x:c>
      <x:c r="D75" s="4" t="str">
        <x:v>BraTS-GLI-02300</x:v>
      </x:c>
      <x:c r="E75" s="4" t="str">
        <x:v>dualid:UCSD-PTGBM-0047</x:v>
      </x:c>
      <x:c r="F75" s="6" t="n">
        <x:v>1</x:v>
      </x:c>
      <x:c r="G75" s="4" t="str">
        <x:v>derived_from_published_243_equals_192_plus_51_partition</x:v>
      </x:c>
      <x:c r="H75" s="6" t="n">
        <x:v>58</x:v>
      </x:c>
      <x:c r="I75" s="6" t="n">
        <x:v>0</x:v>
      </x:c>
      <x:c r="J75" s="6" t="n">
        <x:v>0</x:v>
      </x:c>
      <x:c r="K75" s="6" t="n">
        <x:v>-360</x:v>
      </x:c>
      <x:c r="L75" s="6" t="n">
        <x:v>360</x:v>
      </x:c>
      <x:c r="M75" s="6" t="n">
        <x:v>5.8888779583</x:v>
      </x:c>
      <x:c r="N75" s="6" t="n">
        <x:v>0</x:v>
      </x:c>
      <x:c r="O75" s="4" t="str">
        <x:v>Glioblastoma</x:v>
      </x:c>
      <x:c r="P75" s="6" t="n">
        <x:v>3</x:v>
      </x:c>
      <x:c r="Q75" s="8" t="n">
        <x:v>0.7300545392</x:v>
      </x:c>
      <x:c r="R75" s="6" t="n">
        <x:v>1</x:v>
      </x:c>
      <x:c r="S75" s="8" t="n">
        <x:v>0.5991520684</x:v>
      </x:c>
      <x:c r="T75" s="6" t="n">
        <x:v>1</x:v>
      </x:c>
      <x:c r="U75" s="8" t="n">
        <x:v>0.7548387097</x:v>
      </x:c>
      <x:c r="V75" s="6" t="n">
        <x:v>1</x:v>
      </x:c>
    </x:row>
    <x:row r="76" ht="28" customHeight="1">
      <x:c r="A76" s="4" t="str">
        <x:v>UCSD-PTGBM-0048_01</x:v>
      </x:c>
      <x:c r="B76" s="4" t="str">
        <x:v>UCSD-PTGBM-0048</x:v>
      </x:c>
      <x:c r="C76" s="4" t="str">
        <x:v>BraTS-GLI-02301-100</x:v>
      </x:c>
      <x:c r="D76" s="4" t="str">
        <x:v>BraTS-GLI-02301</x:v>
      </x:c>
      <x:c r="E76" s="4" t="str">
        <x:v>dualid:UCSD-PTGBM-0048</x:v>
      </x:c>
      <x:c r="F76" s="6" t="n">
        <x:v>1</x:v>
      </x:c>
      <x:c r="G76" s="4" t="str">
        <x:v>derived_from_published_243_equals_192_plus_51_partition</x:v>
      </x:c>
      <x:c r="H76" s="6" t="n">
        <x:v>60</x:v>
      </x:c>
      <x:c r="I76" s="6" t="n">
        <x:v>0</x:v>
      </x:c>
      <x:c r="J76" s="6" t="n">
        <x:v>0</x:v>
      </x:c>
      <x:c r="K76" s="6" t="n">
        <x:v>-788</x:v>
      </x:c>
      <x:c r="L76" s="6" t="n">
        <x:v>788</x:v>
      </x:c>
      <x:c r="M76" s="6" t="n">
        <x:v>6.6707663209</x:v>
      </x:c>
      <x:c r="N76" s="6" t="n">
        <x:v>0</x:v>
      </x:c>
      <x:c r="O76" s="4" t="str">
        <x:v>Glioblastoma</x:v>
      </x:c>
      <x:c r="P76" s="6" t="n">
        <x:v>3</x:v>
      </x:c>
      <x:c r="Q76" s="8" t="n">
        <x:v>0.7410661759</x:v>
      </x:c>
      <x:c r="R76" s="6" t="n">
        <x:v>1</x:v>
      </x:c>
      <x:c r="S76" s="8" t="n">
        <x:v>0.4832140261</x:v>
      </x:c>
      <x:c r="T76" s="6" t="n">
        <x:v>0</x:v>
      </x:c>
      <x:c r="U76" s="8" t="n">
        <x:v>0.7548387097</x:v>
      </x:c>
      <x:c r="V76" s="6" t="n">
        <x:v>1</x:v>
      </x:c>
    </x:row>
    <x:row r="77" ht="28" customHeight="1">
      <x:c r="A77" s="4" t="str">
        <x:v>UCSD-PTGBM-0048_02</x:v>
      </x:c>
      <x:c r="B77" s="4" t="str">
        <x:v>UCSD-PTGBM-0048</x:v>
      </x:c>
      <x:c r="C77" s="4" t="str">
        <x:v>BraTS-GLI-02301-101</x:v>
      </x:c>
      <x:c r="D77" s="4" t="str">
        <x:v>BraTS-GLI-02301</x:v>
      </x:c>
      <x:c r="E77" s="4" t="str">
        <x:v>dualid:UCSD-PTGBM-0048</x:v>
      </x:c>
      <x:c r="F77" s="6" t="n">
        <x:v>1</x:v>
      </x:c>
      <x:c r="G77" s="4" t="str">
        <x:v>derived_from_published_243_equals_192_plus_51_partition</x:v>
      </x:c>
      <x:c r="H77" s="6" t="n">
        <x:v>60</x:v>
      </x:c>
      <x:c r="I77" s="6" t="n">
        <x:v>0</x:v>
      </x:c>
      <x:c r="J77" s="6" t="n">
        <x:v>0</x:v>
      </x:c>
      <x:c r="K77" s="6" t="n">
        <x:v>-841</x:v>
      </x:c>
      <x:c r="L77" s="6" t="n">
        <x:v>841</x:v>
      </x:c>
      <x:c r="M77" s="6" t="n">
        <x:v>6.7357800142</x:v>
      </x:c>
      <x:c r="N77" s="6" t="n">
        <x:v>0</x:v>
      </x:c>
      <x:c r="O77" s="4" t="str">
        <x:v>Glioblastoma</x:v>
      </x:c>
      <x:c r="P77" s="6" t="n">
        <x:v>3</x:v>
      </x:c>
      <x:c r="Q77" s="8" t="n">
        <x:v>0.7410661759</x:v>
      </x:c>
      <x:c r="R77" s="6" t="n">
        <x:v>1</x:v>
      </x:c>
      <x:c r="S77" s="8" t="n">
        <x:v>0.4731334916</x:v>
      </x:c>
      <x:c r="T77" s="6" t="n">
        <x:v>0</x:v>
      </x:c>
      <x:c r="U77" s="8" t="n">
        <x:v>0.7548387097</x:v>
      </x:c>
      <x:c r="V77" s="6" t="n">
        <x:v>1</x:v>
      </x:c>
    </x:row>
    <x:row r="78" ht="28" customHeight="1">
      <x:c r="A78" s="4" t="str">
        <x:v>UCSD-PTGBM-0048_03</x:v>
      </x:c>
      <x:c r="B78" s="4" t="str">
        <x:v>UCSD-PTGBM-0048</x:v>
      </x:c>
      <x:c r="C78" s="4" t="str">
        <x:v>BraTS-GLI-02301-102</x:v>
      </x:c>
      <x:c r="D78" s="4" t="str">
        <x:v>BraTS-GLI-02301</x:v>
      </x:c>
      <x:c r="E78" s="4" t="str">
        <x:v>dualid:UCSD-PTGBM-0048</x:v>
      </x:c>
      <x:c r="F78" s="6" t="n">
        <x:v>1</x:v>
      </x:c>
      <x:c r="G78" s="4" t="str">
        <x:v>derived_from_published_243_equals_192_plus_51_partition</x:v>
      </x:c>
      <x:c r="H78" s="6" t="n">
        <x:v>60</x:v>
      </x:c>
      <x:c r="I78" s="6" t="n">
        <x:v>0</x:v>
      </x:c>
      <x:c r="J78" s="6" t="n">
        <x:v>0</x:v>
      </x:c>
      <x:c r="K78" s="6" t="n">
        <x:v>-887</x:v>
      </x:c>
      <x:c r="L78" s="6" t="n">
        <x:v>887</x:v>
      </x:c>
      <x:c r="M78" s="6" t="n">
        <x:v>6.788971743</x:v>
      </x:c>
      <x:c r="N78" s="6" t="n">
        <x:v>0</x:v>
      </x:c>
      <x:c r="O78" s="4" t="str">
        <x:v>Glioblastoma</x:v>
      </x:c>
      <x:c r="P78" s="6" t="n">
        <x:v>3</x:v>
      </x:c>
      <x:c r="Q78" s="8" t="n">
        <x:v>0.7410661759</x:v>
      </x:c>
      <x:c r="R78" s="6" t="n">
        <x:v>1</x:v>
      </x:c>
      <x:c r="S78" s="8" t="n">
        <x:v>0.4649018717</x:v>
      </x:c>
      <x:c r="T78" s="6" t="n">
        <x:v>0</x:v>
      </x:c>
      <x:c r="U78" s="8" t="n">
        <x:v>0.7548387097</x:v>
      </x:c>
      <x:c r="V78" s="6" t="n">
        <x:v>1</x:v>
      </x:c>
    </x:row>
    <x:row r="79" ht="28" customHeight="1">
      <x:c r="A79" s="4" t="str">
        <x:v>UCSD-PTGBM-0049_01</x:v>
      </x:c>
      <x:c r="B79" s="4" t="str">
        <x:v>UCSD-PTGBM-0049</x:v>
      </x:c>
      <x:c r="C79" s="4" t="str">
        <x:v>BraTS-GLI-02302-100</x:v>
      </x:c>
      <x:c r="D79" s="4" t="str">
        <x:v>BraTS-GLI-02302</x:v>
      </x:c>
      <x:c r="E79" s="4" t="str">
        <x:v>dualid:UCSD-PTGBM-0049</x:v>
      </x:c>
      <x:c r="F79" s="6" t="n">
        <x:v>0</x:v>
      </x:c>
      <x:c r="G79" s="4" t="str">
        <x:v>explicit_negative_case_list</x:v>
      </x:c>
      <x:c r="H79" s="6" t="n">
        <x:v>53</x:v>
      </x:c>
      <x:c r="I79" s="6" t="n">
        <x:v>1</x:v>
      </x:c>
      <x:c r="J79" s="6" t="n">
        <x:v>0</x:v>
      </x:c>
      <x:c r="K79" s="6" t="n">
        <x:v>-1313</x:v>
      </x:c>
      <x:c r="L79" s="6" t="n">
        <x:v>1313</x:v>
      </x:c>
      <x:c r="M79" s="6" t="n">
        <x:v>7.180831199</x:v>
      </x:c>
      <x:c r="N79" s="6" t="n">
        <x:v>0</x:v>
      </x:c>
      <x:c r="O79" s="4" t="str">
        <x:v>Glioblastoma</x:v>
      </x:c>
      <x:c r="P79" s="6" t="n">
        <x:v>4</x:v>
      </x:c>
      <x:c r="Q79" s="8" t="n">
        <x:v>0.767758649</x:v>
      </x:c>
      <x:c r="R79" s="6" t="n">
        <x:v>1</x:v>
      </x:c>
      <x:c r="S79" s="8" t="n">
        <x:v>0.474835213</x:v>
      </x:c>
      <x:c r="T79" s="6" t="n">
        <x:v>0</x:v>
      </x:c>
      <x:c r="U79" s="8" t="n">
        <x:v>0.7516339869</x:v>
      </x:c>
      <x:c r="V79" s="6" t="n">
        <x:v>1</x:v>
      </x:c>
    </x:row>
    <x:row r="80" ht="28" customHeight="1">
      <x:c r="A80" s="4" t="str">
        <x:v>UCSD-PTGBM-0050_01</x:v>
      </x:c>
      <x:c r="B80" s="4" t="str">
        <x:v>UCSD-PTGBM-0050</x:v>
      </x:c>
      <x:c r="C80" s="4" t="str">
        <x:v>BraTS-GLI-02303-100</x:v>
      </x:c>
      <x:c r="D80" s="4" t="str">
        <x:v>BraTS-GLI-02303</x:v>
      </x:c>
      <x:c r="E80" s="4" t="str">
        <x:v>dualid:UCSD-PTGBM-0050</x:v>
      </x:c>
      <x:c r="F80" s="6" t="n">
        <x:v>1</x:v>
      </x:c>
      <x:c r="G80" s="4" t="str">
        <x:v>derived_from_published_243_equals_192_plus_51_partition</x:v>
      </x:c>
      <x:c r="H80" s="6" t="n">
        <x:v>53</x:v>
      </x:c>
      <x:c r="I80" s="6" t="n">
        <x:v>1</x:v>
      </x:c>
      <x:c r="J80" s="6" t="n">
        <x:v>0</x:v>
      </x:c>
      <x:c r="K80" s="6" t="n">
        <x:v>-37</x:v>
      </x:c>
      <x:c r="L80" s="6" t="n">
        <x:v>37</x:v>
      </x:c>
      <x:c r="M80" s="6" t="n">
        <x:v>3.6375861597</x:v>
      </x:c>
      <x:c r="N80" s="6" t="n">
        <x:v>0</x:v>
      </x:c>
      <x:c r="O80" s="4" t="str">
        <x:v>Glioblastoma</x:v>
      </x:c>
      <x:c r="P80" s="6" t="n">
        <x:v>1</x:v>
      </x:c>
      <x:c r="Q80" s="8" t="n">
        <x:v>0.7527936897</x:v>
      </x:c>
      <x:c r="R80" s="6" t="n">
        <x:v>1</x:v>
      </x:c>
      <x:c r="S80" s="8" t="n">
        <x:v>0.83753401</x:v>
      </x:c>
      <x:c r="T80" s="6" t="n">
        <x:v>1</x:v>
      </x:c>
      <x:c r="U80" s="8" t="n">
        <x:v>0.7597402597</x:v>
      </x:c>
      <x:c r="V80" s="6" t="n">
        <x:v>1</x:v>
      </x:c>
    </x:row>
    <x:row r="81" ht="28" customHeight="1">
      <x:c r="A81" s="4" t="str">
        <x:v>UCSD-PTGBM-0050_02</x:v>
      </x:c>
      <x:c r="B81" s="4" t="str">
        <x:v>UCSD-PTGBM-0050</x:v>
      </x:c>
      <x:c r="C81" s="4" t="str">
        <x:v>BraTS-GLI-02303-101</x:v>
      </x:c>
      <x:c r="D81" s="4" t="str">
        <x:v>BraTS-GLI-02303</x:v>
      </x:c>
      <x:c r="E81" s="4" t="str">
        <x:v>dualid:UCSD-PTGBM-0050</x:v>
      </x:c>
      <x:c r="F81" s="6" t="n">
        <x:v>1</x:v>
      </x:c>
      <x:c r="G81" s="4" t="str">
        <x:v>derived_from_published_243_equals_192_plus_51_partition</x:v>
      </x:c>
      <x:c r="H81" s="6" t="n">
        <x:v>53</x:v>
      </x:c>
      <x:c r="I81" s="6" t="n">
        <x:v>1</x:v>
      </x:c>
      <x:c r="J81" s="6" t="n">
        <x:v>0</x:v>
      </x:c>
      <x:c r="K81" s="6" t="n">
        <x:v>-129</x:v>
      </x:c>
      <x:c r="L81" s="6" t="n">
        <x:v>129</x:v>
      </x:c>
      <x:c r="M81" s="6" t="n">
        <x:v>4.8675344505</x:v>
      </x:c>
      <x:c r="N81" s="6" t="n">
        <x:v>0</x:v>
      </x:c>
      <x:c r="O81" s="4" t="str">
        <x:v>Glioblastoma</x:v>
      </x:c>
      <x:c r="P81" s="6" t="n">
        <x:v>1</x:v>
      </x:c>
      <x:c r="Q81" s="8" t="n">
        <x:v>0.7527936897</x:v>
      </x:c>
      <x:c r="R81" s="6" t="n">
        <x:v>1</x:v>
      </x:c>
      <x:c r="S81" s="8" t="n">
        <x:v>0.7456684466</x:v>
      </x:c>
      <x:c r="T81" s="6" t="n">
        <x:v>1</x:v>
      </x:c>
      <x:c r="U81" s="8" t="n">
        <x:v>0.7597402597</x:v>
      </x:c>
      <x:c r="V81" s="6" t="n">
        <x:v>1</x:v>
      </x:c>
    </x:row>
    <x:row r="82" ht="28" customHeight="1">
      <x:c r="A82" s="4" t="str">
        <x:v>UCSD-PTGBM-0050_03</x:v>
      </x:c>
      <x:c r="B82" s="4" t="str">
        <x:v>UCSD-PTGBM-0050</x:v>
      </x:c>
      <x:c r="C82" s="4" t="str">
        <x:v>BraTS-GLI-02303-102</x:v>
      </x:c>
      <x:c r="D82" s="4" t="str">
        <x:v>BraTS-GLI-02303</x:v>
      </x:c>
      <x:c r="E82" s="4" t="str">
        <x:v>dualid:UCSD-PTGBM-0050</x:v>
      </x:c>
      <x:c r="F82" s="6" t="n">
        <x:v>1</x:v>
      </x:c>
      <x:c r="G82" s="4" t="str">
        <x:v>derived_from_published_243_equals_192_plus_51_partition</x:v>
      </x:c>
      <x:c r="H82" s="6" t="n">
        <x:v>53</x:v>
      </x:c>
      <x:c r="I82" s="6" t="n">
        <x:v>1</x:v>
      </x:c>
      <x:c r="J82" s="6" t="n">
        <x:v>0</x:v>
      </x:c>
      <x:c r="K82" s="6" t="n">
        <x:v>-168</x:v>
      </x:c>
      <x:c r="L82" s="6" t="n">
        <x:v>168</x:v>
      </x:c>
      <x:c r="M82" s="6" t="n">
        <x:v>5.1298987149</x:v>
      </x:c>
      <x:c r="N82" s="6" t="n">
        <x:v>0</x:v>
      </x:c>
      <x:c r="O82" s="4" t="str">
        <x:v>Glioblastoma</x:v>
      </x:c>
      <x:c r="P82" s="6" t="n">
        <x:v>1</x:v>
      </x:c>
      <x:c r="Q82" s="8" t="n">
        <x:v>0.7527936897</x:v>
      </x:c>
      <x:c r="R82" s="6" t="n">
        <x:v>1</x:v>
      </x:c>
      <x:c r="S82" s="8" t="n">
        <x:v>0.7221715342</x:v>
      </x:c>
      <x:c r="T82" s="6" t="n">
        <x:v>1</x:v>
      </x:c>
      <x:c r="U82" s="8" t="n">
        <x:v>0.7597402597</x:v>
      </x:c>
      <x:c r="V82" s="6" t="n">
        <x:v>1</x:v>
      </x:c>
    </x:row>
    <x:row r="83" ht="28" customHeight="1">
      <x:c r="A83" s="4" t="str">
        <x:v>UCSD-PTGBM-0050_04</x:v>
      </x:c>
      <x:c r="B83" s="4" t="str">
        <x:v>UCSD-PTGBM-0050</x:v>
      </x:c>
      <x:c r="C83" s="4" t="str">
        <x:v>BraTS-GLI-02303-103</x:v>
      </x:c>
      <x:c r="D83" s="4" t="str">
        <x:v>BraTS-GLI-02303</x:v>
      </x:c>
      <x:c r="E83" s="4" t="str">
        <x:v>dualid:UCSD-PTGBM-0050</x:v>
      </x:c>
      <x:c r="F83" s="6" t="n">
        <x:v>1</x:v>
      </x:c>
      <x:c r="G83" s="4" t="str">
        <x:v>derived_from_published_243_equals_192_plus_51_partition</x:v>
      </x:c>
      <x:c r="H83" s="6" t="n">
        <x:v>53</x:v>
      </x:c>
      <x:c r="I83" s="6" t="n">
        <x:v>1</x:v>
      </x:c>
      <x:c r="J83" s="6" t="n">
        <x:v>1</x:v>
      </x:c>
      <x:c r="K83" s="6" t="n">
        <x:v>-204</x:v>
      </x:c>
      <x:c r="L83" s="6" t="n">
        <x:v>204</x:v>
      </x:c>
      <x:c r="M83" s="6" t="n">
        <x:v>5.3230099791</x:v>
      </x:c>
      <x:c r="N83" s="6" t="n">
        <x:v>0</x:v>
      </x:c>
      <x:c r="O83" s="4" t="str">
        <x:v>Glioblastoma</x:v>
      </x:c>
      <x:c r="P83" s="6" t="n">
        <x:v>1</x:v>
      </x:c>
      <x:c r="Q83" s="8" t="n">
        <x:v>0.7527936897</x:v>
      </x:c>
      <x:c r="R83" s="6" t="n">
        <x:v>1</x:v>
      </x:c>
      <x:c r="S83" s="8" t="n">
        <x:v>0.7862892161</x:v>
      </x:c>
      <x:c r="T83" s="6" t="n">
        <x:v>1</x:v>
      </x:c>
      <x:c r="U83" s="8" t="n">
        <x:v>0.7597402597</x:v>
      </x:c>
      <x:c r="V83" s="6" t="n">
        <x:v>1</x:v>
      </x:c>
    </x:row>
    <x:row r="84" ht="28" customHeight="1">
      <x:c r="A84" s="4" t="str">
        <x:v>UCSD-PTGBM-0051_01</x:v>
      </x:c>
      <x:c r="B84" s="4" t="str">
        <x:v>UCSD-PTGBM-0051</x:v>
      </x:c>
      <x:c r="C84" s="4" t="str">
        <x:v>BraTS-GLI-02304-100</x:v>
      </x:c>
      <x:c r="D84" s="4" t="str">
        <x:v>BraTS-GLI-02304</x:v>
      </x:c>
      <x:c r="E84" s="4" t="str">
        <x:v>dualid:UCSD-PTGBM-0051</x:v>
      </x:c>
      <x:c r="F84" s="6" t="n">
        <x:v>1</x:v>
      </x:c>
      <x:c r="G84" s="4" t="str">
        <x:v>derived_from_published_243_equals_192_plus_51_partition</x:v>
      </x:c>
      <x:c r="H84" s="6" t="n">
        <x:v>70</x:v>
      </x:c>
      <x:c r="I84" s="6" t="n">
        <x:v>1</x:v>
      </x:c>
      <x:c r="J84" s="6" t="n">
        <x:v>1</x:v>
      </x:c>
      <x:c r="K84" s="6" t="n">
        <x:v>-1914</x:v>
      </x:c>
      <x:c r="L84" s="6" t="n">
        <x:v>1914</x:v>
      </x:c>
      <x:c r="M84" s="6" t="n">
        <x:v>7.5574729016</x:v>
      </x:c>
      <x:c r="N84" s="6" t="n">
        <x:v>0</x:v>
      </x:c>
      <x:c r="O84" s="4" t="str">
        <x:v>Glioblastoma</x:v>
      </x:c>
      <x:c r="P84" s="6" t="n">
        <x:v>3</x:v>
      </x:c>
      <x:c r="Q84" s="8" t="n">
        <x:v>0.8439532222</x:v>
      </x:c>
      <x:c r="R84" s="6" t="n">
        <x:v>1</x:v>
      </x:c>
      <x:c r="S84" s="8" t="n">
        <x:v>0.6034262874</x:v>
      </x:c>
      <x:c r="T84" s="6" t="n">
        <x:v>1</x:v>
      </x:c>
      <x:c r="U84" s="8" t="n">
        <x:v>0.7548387097</x:v>
      </x:c>
      <x:c r="V84" s="6" t="n">
        <x:v>1</x:v>
      </x:c>
    </x:row>
    <x:row r="85" ht="28" customHeight="1">
      <x:c r="A85" s="4" t="str">
        <x:v>UCSD-PTGBM-0052_01</x:v>
      </x:c>
      <x:c r="B85" s="4" t="str">
        <x:v>UCSD-PTGBM-0052</x:v>
      </x:c>
      <x:c r="C85" s="4" t="str">
        <x:v>BraTS-GLI-02305-100</x:v>
      </x:c>
      <x:c r="D85" s="4" t="str">
        <x:v>BraTS-GLI-02305</x:v>
      </x:c>
      <x:c r="E85" s="4" t="str">
        <x:v>dualid:UCSD-PTGBM-0052</x:v>
      </x:c>
      <x:c r="F85" s="6" t="n">
        <x:v>0</x:v>
      </x:c>
      <x:c r="G85" s="4" t="str">
        <x:v>explicit_negative_case_list</x:v>
      </x:c>
      <x:c r="H85" s="6" t="n">
        <x:v>47</x:v>
      </x:c>
      <x:c r="I85" s="6" t="n">
        <x:v>1</x:v>
      </x:c>
      <x:c r="J85" s="6" t="n">
        <x:v>0</x:v>
      </x:c>
      <x:c r="K85" s="6" t="n">
        <x:v>-35</x:v>
      </x:c>
      <x:c r="L85" s="6" t="n">
        <x:v>35</x:v>
      </x:c>
      <x:c r="M85" s="6" t="n">
        <x:v>3.5835189385</x:v>
      </x:c>
      <x:c r="N85" s="6" t="n">
        <x:v>0</x:v>
      </x:c>
      <x:c r="O85" s="4" t="str">
        <x:v>Glioblastoma</x:v>
      </x:c>
      <x:c r="P85" s="6" t="n">
        <x:v>3</x:v>
      </x:c>
      <x:c r="Q85" s="8" t="n">
        <x:v>0.7382384816</x:v>
      </x:c>
      <x:c r="R85" s="6" t="n">
        <x:v>1</x:v>
      </x:c>
      <x:c r="S85" s="8" t="n">
        <x:v>0.8719751026</x:v>
      </x:c>
      <x:c r="T85" s="6" t="n">
        <x:v>1</x:v>
      </x:c>
      <x:c r="U85" s="8" t="n">
        <x:v>0.7548387097</x:v>
      </x:c>
      <x:c r="V85" s="6" t="n">
        <x:v>1</x:v>
      </x:c>
    </x:row>
    <x:row r="86" ht="28" customHeight="1">
      <x:c r="A86" s="4" t="str">
        <x:v>UCSD-PTGBM-0052_02</x:v>
      </x:c>
      <x:c r="B86" s="4" t="str">
        <x:v>UCSD-PTGBM-0052</x:v>
      </x:c>
      <x:c r="C86" s="4" t="str">
        <x:v>BraTS-GLI-02305-101</x:v>
      </x:c>
      <x:c r="D86" s="4" t="str">
        <x:v>BraTS-GLI-02305</x:v>
      </x:c>
      <x:c r="E86" s="4" t="str">
        <x:v>dualid:UCSD-PTGBM-0052</x:v>
      </x:c>
      <x:c r="F86" s="6" t="n">
        <x:v>1</x:v>
      </x:c>
      <x:c r="G86" s="4" t="str">
        <x:v>derived_from_published_243_equals_192_plus_51_partition</x:v>
      </x:c>
      <x:c r="H86" s="6" t="n">
        <x:v>47</x:v>
      </x:c>
      <x:c r="I86" s="6" t="n">
        <x:v>1</x:v>
      </x:c>
      <x:c r="J86" s="6" t="n">
        <x:v>0</x:v>
      </x:c>
      <x:c r="K86" s="6" t="n">
        <x:v>-437</x:v>
      </x:c>
      <x:c r="L86" s="6" t="n">
        <x:v>437</x:v>
      </x:c>
      <x:c r="M86" s="6" t="n">
        <x:v>6.0822189104</x:v>
      </x:c>
      <x:c r="N86" s="6" t="n">
        <x:v>0</x:v>
      </x:c>
      <x:c r="O86" s="4" t="str">
        <x:v>Glioblastoma</x:v>
      </x:c>
      <x:c r="P86" s="6" t="n">
        <x:v>3</x:v>
      </x:c>
      <x:c r="Q86" s="8" t="n">
        <x:v>0.7382384816</x:v>
      </x:c>
      <x:c r="R86" s="6" t="n">
        <x:v>1</x:v>
      </x:c>
      <x:c r="S86" s="8" t="n">
        <x:v>0.590445122</x:v>
      </x:c>
      <x:c r="T86" s="6" t="n">
        <x:v>1</x:v>
      </x:c>
      <x:c r="U86" s="8" t="n">
        <x:v>0.7548387097</x:v>
      </x:c>
      <x:c r="V86" s="6" t="n">
        <x:v>1</x:v>
      </x:c>
    </x:row>
    <x:row r="87" ht="28" customHeight="1">
      <x:c r="A87" s="4" t="str">
        <x:v>UCSD-PTGBM-0052_03</x:v>
      </x:c>
      <x:c r="B87" s="4" t="str">
        <x:v>UCSD-PTGBM-0052</x:v>
      </x:c>
      <x:c r="C87" s="4" t="str">
        <x:v>BraTS-GLI-02305-102</x:v>
      </x:c>
      <x:c r="D87" s="4" t="str">
        <x:v>BraTS-GLI-02305</x:v>
      </x:c>
      <x:c r="E87" s="4" t="str">
        <x:v>dualid:UCSD-PTGBM-0052</x:v>
      </x:c>
      <x:c r="F87" s="6" t="n">
        <x:v>1</x:v>
      </x:c>
      <x:c r="G87" s="4" t="str">
        <x:v>derived_from_published_243_equals_192_plus_51_partition</x:v>
      </x:c>
      <x:c r="H87" s="6" t="n">
        <x:v>47</x:v>
      </x:c>
      <x:c r="I87" s="6" t="n">
        <x:v>1</x:v>
      </x:c>
      <x:c r="J87" s="6" t="n">
        <x:v>0</x:v>
      </x:c>
      <x:c r="K87" s="6" t="n">
        <x:v>-558</x:v>
      </x:c>
      <x:c r="L87" s="6" t="n">
        <x:v>558</x:v>
      </x:c>
      <x:c r="M87" s="6" t="n">
        <x:v>6.3261494732</x:v>
      </x:c>
      <x:c r="N87" s="6" t="n">
        <x:v>0</x:v>
      </x:c>
      <x:c r="O87" s="4" t="str">
        <x:v>Glioblastoma</x:v>
      </x:c>
      <x:c r="P87" s="6" t="n">
        <x:v>3</x:v>
      </x:c>
      <x:c r="Q87" s="8" t="n">
        <x:v>0.7382384816</x:v>
      </x:c>
      <x:c r="R87" s="6" t="n">
        <x:v>1</x:v>
      </x:c>
      <x:c r="S87" s="8" t="n">
        <x:v>0.5533520242</x:v>
      </x:c>
      <x:c r="T87" s="6" t="n">
        <x:v>1</x:v>
      </x:c>
      <x:c r="U87" s="8" t="n">
        <x:v>0.7548387097</x:v>
      </x:c>
      <x:c r="V87" s="6" t="n">
        <x:v>1</x:v>
      </x:c>
    </x:row>
    <x:row r="88" ht="28" customHeight="1">
      <x:c r="A88" s="4" t="str">
        <x:v>UCSD-PTGBM-0053_01</x:v>
      </x:c>
      <x:c r="B88" s="4" t="str">
        <x:v>UCSD-PTGBM-0053</x:v>
      </x:c>
      <x:c r="C88" s="4" t="str">
        <x:v>BraTS-GLI-02307-100</x:v>
      </x:c>
      <x:c r="D88" s="4" t="str">
        <x:v>BraTS-GLI-02307</x:v>
      </x:c>
      <x:c r="E88" s="4" t="str">
        <x:v>dualid:UCSD-PTGBM-0053</x:v>
      </x:c>
      <x:c r="F88" s="6" t="n">
        <x:v>1</x:v>
      </x:c>
      <x:c r="G88" s="4" t="str">
        <x:v>derived_from_published_243_equals_192_plus_51_partition</x:v>
      </x:c>
      <x:c r="H88" s="6" t="n">
        <x:v>39</x:v>
      </x:c>
      <x:c r="I88" s="6" t="n">
        <x:v>1</x:v>
      </x:c>
      <x:c r="J88" s="6" t="n">
        <x:v>0</x:v>
      </x:c>
      <x:c r="K88" s="6" t="n">
        <x:v>-188</x:v>
      </x:c>
      <x:c r="L88" s="6" t="n">
        <x:v>188</x:v>
      </x:c>
      <x:c r="M88" s="6" t="n">
        <x:v>5.2417470151</x:v>
      </x:c>
      <x:c r="N88" s="6" t="n">
        <x:v>0</x:v>
      </x:c>
      <x:c r="O88" s="4" t="str">
        <x:v>Glioblastoma</x:v>
      </x:c>
      <x:c r="P88" s="6" t="n">
        <x:v>4</x:v>
      </x:c>
      <x:c r="Q88" s="8" t="n">
        <x:v>0.7020020927</x:v>
      </x:c>
      <x:c r="R88" s="6" t="n">
        <x:v>1</x:v>
      </x:c>
      <x:c r="S88" s="8" t="n">
        <x:v>0.7052146223</x:v>
      </x:c>
      <x:c r="T88" s="6" t="n">
        <x:v>1</x:v>
      </x:c>
      <x:c r="U88" s="8" t="n">
        <x:v>0.7516339869</x:v>
      </x:c>
      <x:c r="V88" s="6" t="n">
        <x:v>1</x:v>
      </x:c>
    </x:row>
    <x:row r="89" ht="28" customHeight="1">
      <x:c r="A89" s="4" t="str">
        <x:v>UCSD-PTGBM-0053_02</x:v>
      </x:c>
      <x:c r="B89" s="4" t="str">
        <x:v>UCSD-PTGBM-0053</x:v>
      </x:c>
      <x:c r="C89" s="4" t="str">
        <x:v>BraTS-GLI-02307-101</x:v>
      </x:c>
      <x:c r="D89" s="4" t="str">
        <x:v>BraTS-GLI-02307</x:v>
      </x:c>
      <x:c r="E89" s="4" t="str">
        <x:v>dualid:UCSD-PTGBM-0053</x:v>
      </x:c>
      <x:c r="F89" s="6" t="n">
        <x:v>1</x:v>
      </x:c>
      <x:c r="G89" s="4" t="str">
        <x:v>derived_from_published_243_equals_192_plus_51_partition</x:v>
      </x:c>
      <x:c r="H89" s="6" t="n">
        <x:v>39</x:v>
      </x:c>
      <x:c r="I89" s="6" t="n">
        <x:v>1</x:v>
      </x:c>
      <x:c r="J89" s="6" t="n">
        <x:v>0</x:v>
      </x:c>
      <x:c r="K89" s="6" t="n">
        <x:v>-232</x:v>
      </x:c>
      <x:c r="L89" s="6" t="n">
        <x:v>232</x:v>
      </x:c>
      <x:c r="M89" s="6" t="n">
        <x:v>5.4510384536</x:v>
      </x:c>
      <x:c r="N89" s="6" t="n">
        <x:v>0</x:v>
      </x:c>
      <x:c r="O89" s="4" t="str">
        <x:v>Glioblastoma</x:v>
      </x:c>
      <x:c r="P89" s="6" t="n">
        <x:v>4</x:v>
      </x:c>
      <x:c r="Q89" s="8" t="n">
        <x:v>0.7020020927</x:v>
      </x:c>
      <x:c r="R89" s="6" t="n">
        <x:v>1</x:v>
      </x:c>
      <x:c r="S89" s="8" t="n">
        <x:v>0.6800798328</x:v>
      </x:c>
      <x:c r="T89" s="6" t="n">
        <x:v>1</x:v>
      </x:c>
      <x:c r="U89" s="8" t="n">
        <x:v>0.7516339869</x:v>
      </x:c>
      <x:c r="V89" s="6" t="n">
        <x:v>1</x:v>
      </x:c>
    </x:row>
    <x:row r="90" ht="28" customHeight="1">
      <x:c r="A90" s="4" t="str">
        <x:v>UCSD-PTGBM-0053_03</x:v>
      </x:c>
      <x:c r="B90" s="4" t="str">
        <x:v>UCSD-PTGBM-0053</x:v>
      </x:c>
      <x:c r="C90" s="4" t="str">
        <x:v>BraTS-GLI-02307-102</x:v>
      </x:c>
      <x:c r="D90" s="4" t="str">
        <x:v>BraTS-GLI-02307</x:v>
      </x:c>
      <x:c r="E90" s="4" t="str">
        <x:v>dualid:UCSD-PTGBM-0053</x:v>
      </x:c>
      <x:c r="F90" s="6" t="n">
        <x:v>1</x:v>
      </x:c>
      <x:c r="G90" s="4" t="str">
        <x:v>derived_from_published_243_equals_192_plus_51_partition</x:v>
      </x:c>
      <x:c r="H90" s="6" t="n">
        <x:v>39</x:v>
      </x:c>
      <x:c r="I90" s="6" t="n">
        <x:v>1</x:v>
      </x:c>
      <x:c r="J90" s="6" t="n">
        <x:v>0</x:v>
      </x:c>
      <x:c r="K90" s="6" t="n">
        <x:v>-302</x:v>
      </x:c>
      <x:c r="L90" s="6" t="n">
        <x:v>302</x:v>
      </x:c>
      <x:c r="M90" s="6" t="n">
        <x:v>5.7137328055</x:v>
      </x:c>
      <x:c r="N90" s="6" t="n">
        <x:v>0</x:v>
      </x:c>
      <x:c r="O90" s="4" t="str">
        <x:v>Glioblastoma</x:v>
      </x:c>
      <x:c r="P90" s="6" t="n">
        <x:v>4</x:v>
      </x:c>
      <x:c r="Q90" s="8" t="n">
        <x:v>0.7020020927</x:v>
      </x:c>
      <x:c r="R90" s="6" t="n">
        <x:v>1</x:v>
      </x:c>
      <x:c r="S90" s="8" t="n">
        <x:v>0.6470013761</x:v>
      </x:c>
      <x:c r="T90" s="6" t="n">
        <x:v>1</x:v>
      </x:c>
      <x:c r="U90" s="8" t="n">
        <x:v>0.7516339869</x:v>
      </x:c>
      <x:c r="V90" s="6" t="n">
        <x:v>1</x:v>
      </x:c>
    </x:row>
    <x:row r="91" ht="28" customHeight="1">
      <x:c r="A91" s="4" t="str">
        <x:v>UCSD-PTGBM-0054_01</x:v>
      </x:c>
      <x:c r="B91" s="4" t="str">
        <x:v>UCSD-PTGBM-0054</x:v>
      </x:c>
      <x:c r="C91" s="4" t="str">
        <x:v>BraTS-GLI-02308-100</x:v>
      </x:c>
      <x:c r="D91" s="4" t="str">
        <x:v>BraTS-GLI-02308</x:v>
      </x:c>
      <x:c r="E91" s="4" t="str">
        <x:v>dualid:UCSD-PTGBM-0054</x:v>
      </x:c>
      <x:c r="F91" s="6" t="n">
        <x:v>1</x:v>
      </x:c>
      <x:c r="G91" s="4" t="str">
        <x:v>derived_from_published_243_equals_192_plus_51_partition</x:v>
      </x:c>
      <x:c r="H91" s="6" t="n">
        <x:v>63</x:v>
      </x:c>
      <x:c r="I91" s="6" t="n">
        <x:v>1</x:v>
      </x:c>
      <x:c r="J91" s="6" t="n">
        <x:v>0</x:v>
      </x:c>
      <x:c r="K91" s="6" t="n">
        <x:v>-19</x:v>
      </x:c>
      <x:c r="L91" s="6" t="n">
        <x:v>19</x:v>
      </x:c>
      <x:c r="M91" s="6" t="n">
        <x:v>2.9957322735</x:v>
      </x:c>
      <x:c r="N91" s="6" t="n">
        <x:v>0</x:v>
      </x:c>
      <x:c r="O91" s="4" t="str">
        <x:v>Glioblastoma</x:v>
      </x:c>
      <x:c r="P91" s="6" t="n">
        <x:v>3</x:v>
      </x:c>
      <x:c r="Q91" s="8" t="n">
        <x:v>0.8160449325</x:v>
      </x:c>
      <x:c r="R91" s="6" t="n">
        <x:v>1</x:v>
      </x:c>
      <x:c r="S91" s="8" t="n">
        <x:v>0.9181892712</x:v>
      </x:c>
      <x:c r="T91" s="6" t="n">
        <x:v>1</x:v>
      </x:c>
      <x:c r="U91" s="8" t="n">
        <x:v>0.7548387097</x:v>
      </x:c>
      <x:c r="V91" s="6" t="n">
        <x:v>1</x:v>
      </x:c>
    </x:row>
    <x:row r="92" ht="28" customHeight="1">
      <x:c r="A92" s="4" t="str">
        <x:v>UCSD-PTGBM-0055_01</x:v>
      </x:c>
      <x:c r="B92" s="4" t="str">
        <x:v>UCSD-PTGBM-0055</x:v>
      </x:c>
      <x:c r="C92" s="4" t="str">
        <x:v>BraTS-GLI-02309-100</x:v>
      </x:c>
      <x:c r="D92" s="4" t="str">
        <x:v>BraTS-GLI-02309</x:v>
      </x:c>
      <x:c r="E92" s="4" t="str">
        <x:v>dualid:UCSD-PTGBM-0055</x:v>
      </x:c>
      <x:c r="F92" s="6" t="n">
        <x:v>0</x:v>
      </x:c>
      <x:c r="G92" s="4" t="str">
        <x:v>explicit_negative_case_list</x:v>
      </x:c>
      <x:c r="H92" s="6" t="n">
        <x:v>81</x:v>
      </x:c>
      <x:c r="I92" s="6" t="n">
        <x:v>1</x:v>
      </x:c>
      <x:c r="J92" s="6" t="n">
        <x:v>0</x:v>
      </x:c>
      <x:c r="K92" s="6" t="n">
        <x:v>-14</x:v>
      </x:c>
      <x:c r="L92" s="6" t="n">
        <x:v>14</x:v>
      </x:c>
      <x:c r="M92" s="6" t="n">
        <x:v>2.7080502011</x:v>
      </x:c>
      <x:c r="N92" s="6" t="n">
        <x:v>0</x:v>
      </x:c>
      <x:c r="O92" s="4" t="str">
        <x:v>Glioblastoma</x:v>
      </x:c>
      <x:c r="P92" s="6" t="n">
        <x:v>1</x:v>
      </x:c>
      <x:c r="Q92" s="8" t="n">
        <x:v>0.851452282</x:v>
      </x:c>
      <x:c r="R92" s="6" t="n">
        <x:v>1</x:v>
      </x:c>
      <x:c r="S92" s="8" t="n">
        <x:v>0.9166180732</x:v>
      </x:c>
      <x:c r="T92" s="6" t="n">
        <x:v>1</x:v>
      </x:c>
      <x:c r="U92" s="8" t="n">
        <x:v>0.7597402597</x:v>
      </x:c>
      <x:c r="V92" s="6" t="n">
        <x:v>1</x:v>
      </x:c>
    </x:row>
    <x:row r="93" ht="28" customHeight="1">
      <x:c r="A93" s="4" t="str">
        <x:v>UCSD-PTGBM-0057_01</x:v>
      </x:c>
      <x:c r="B93" s="4" t="str">
        <x:v>UCSD-PTGBM-0057</x:v>
      </x:c>
      <x:c r="C93" s="4" t="str">
        <x:v>BraTS-GLI-02312-100</x:v>
      </x:c>
      <x:c r="D93" s="4" t="str">
        <x:v>BraTS-GLI-02312</x:v>
      </x:c>
      <x:c r="E93" s="4" t="str">
        <x:v>dualid:UCSD-PTGBM-0057</x:v>
      </x:c>
      <x:c r="F93" s="6" t="n">
        <x:v>0</x:v>
      </x:c>
      <x:c r="G93" s="4" t="str">
        <x:v>explicit_negative_case_list</x:v>
      </x:c>
      <x:c r="H93" s="6" t="n">
        <x:v>49</x:v>
      </x:c>
      <x:c r="I93" s="6" t="n">
        <x:v>1</x:v>
      </x:c>
      <x:c r="J93" s="6" t="n">
        <x:v>0</x:v>
      </x:c>
      <x:c r="K93" s="6" t="n">
        <x:v>-35</x:v>
      </x:c>
      <x:c r="L93" s="6" t="n">
        <x:v>35</x:v>
      </x:c>
      <x:c r="M93" s="6" t="n">
        <x:v>3.5835189385</x:v>
      </x:c>
      <x:c r="N93" s="6" t="n">
        <x:v>0</x:v>
      </x:c>
      <x:c r="O93" s="4" t="str">
        <x:v>Glioblastoma</x:v>
      </x:c>
      <x:c r="P93" s="6" t="n">
        <x:v>3</x:v>
      </x:c>
      <x:c r="Q93" s="8" t="n">
        <x:v>0.7490310416</x:v>
      </x:c>
      <x:c r="R93" s="6" t="n">
        <x:v>1</x:v>
      </x:c>
      <x:c r="S93" s="8" t="n">
        <x:v>0.8738361076</x:v>
      </x:c>
      <x:c r="T93" s="6" t="n">
        <x:v>1</x:v>
      </x:c>
      <x:c r="U93" s="8" t="n">
        <x:v>0.7548387097</x:v>
      </x:c>
      <x:c r="V93" s="6" t="n">
        <x:v>1</x:v>
      </x:c>
    </x:row>
    <x:row r="94" ht="28" customHeight="1">
      <x:c r="A94" s="4" t="str">
        <x:v>UCSD-PTGBM-0058_01</x:v>
      </x:c>
      <x:c r="B94" s="4" t="str">
        <x:v>UCSD-PTGBM-0058</x:v>
      </x:c>
      <x:c r="C94" s="4" t="str">
        <x:v>BraTS-GLI-02313-100</x:v>
      </x:c>
      <x:c r="D94" s="4" t="str">
        <x:v>BraTS-GLI-02313</x:v>
      </x:c>
      <x:c r="E94" s="4" t="str">
        <x:v>dualid:UCSD-PTGBM-0058</x:v>
      </x:c>
      <x:c r="F94" s="6" t="n">
        <x:v>1</x:v>
      </x:c>
      <x:c r="G94" s="4" t="str">
        <x:v>derived_from_published_243_equals_192_plus_51_partition</x:v>
      </x:c>
      <x:c r="H94" s="6" t="n">
        <x:v>53</x:v>
      </x:c>
      <x:c r="I94" s="6" t="n">
        <x:v>1</x:v>
      </x:c>
      <x:c r="J94" s="6" t="n">
        <x:v>0</x:v>
      </x:c>
      <x:c r="K94" s="6" t="n">
        <x:v>-33</x:v>
      </x:c>
      <x:c r="L94" s="6" t="n">
        <x:v>33</x:v>
      </x:c>
      <x:c r="M94" s="6" t="n">
        <x:v>3.5263605246</x:v>
      </x:c>
      <x:c r="N94" s="6" t="n">
        <x:v>0</x:v>
      </x:c>
      <x:c r="O94" s="4" t="str">
        <x:v>Glioblastoma</x:v>
      </x:c>
      <x:c r="P94" s="6" t="n">
        <x:v>4</x:v>
      </x:c>
      <x:c r="Q94" s="8" t="n">
        <x:v>0.767758649</x:v>
      </x:c>
      <x:c r="R94" s="6" t="n">
        <x:v>1</x:v>
      </x:c>
      <x:c r="S94" s="8" t="n">
        <x:v>0.8767164236</x:v>
      </x:c>
      <x:c r="T94" s="6" t="n">
        <x:v>1</x:v>
      </x:c>
      <x:c r="U94" s="8" t="n">
        <x:v>0.7516339869</x:v>
      </x:c>
      <x:c r="V94" s="6" t="n">
        <x:v>1</x:v>
      </x:c>
    </x:row>
    <x:row r="95" ht="28" customHeight="1">
      <x:c r="A95" s="4" t="str">
        <x:v>UCSD-PTGBM-0059_01</x:v>
      </x:c>
      <x:c r="B95" s="4" t="str">
        <x:v>UCSD-PTGBM-0059</x:v>
      </x:c>
      <x:c r="C95" s="4" t="str">
        <x:v>BraTS-GLI-02314-100</x:v>
      </x:c>
      <x:c r="D95" s="4" t="str">
        <x:v>BraTS-GLI-02314</x:v>
      </x:c>
      <x:c r="E95" s="4" t="str">
        <x:v>dualid:UCSD-PTGBM-0059</x:v>
      </x:c>
      <x:c r="F95" s="6" t="n">
        <x:v>1</x:v>
      </x:c>
      <x:c r="G95" s="4" t="str">
        <x:v>derived_from_published_243_equals_192_plus_51_partition</x:v>
      </x:c>
      <x:c r="H95" s="6" t="n">
        <x:v>56</x:v>
      </x:c>
      <x:c r="I95" s="6" t="n">
        <x:v>0</x:v>
      </x:c>
      <x:c r="J95" s="6" t="n">
        <x:v>0</x:v>
      </x:c>
      <x:c r="K95" s="6" t="n">
        <x:v>-49</x:v>
      </x:c>
      <x:c r="L95" s="6" t="n">
        <x:v>49</x:v>
      </x:c>
      <x:c r="M95" s="6" t="n">
        <x:v>3.9120230054</x:v>
      </x:c>
      <x:c r="N95" s="6" t="n">
        <x:v>0</x:v>
      </x:c>
      <x:c r="O95" s="4" t="str">
        <x:v>Glioblastoma</x:v>
      </x:c>
      <x:c r="P95" s="6" t="n">
        <x:v>2</x:v>
      </x:c>
      <x:c r="Q95" s="8" t="n">
        <x:v>0.6891122579</x:v>
      </x:c>
      <x:c r="R95" s="6" t="n">
        <x:v>1</x:v>
      </x:c>
      <x:c r="S95" s="8" t="n">
        <x:v>0.7486719659</x:v>
      </x:c>
      <x:c r="T95" s="6" t="n">
        <x:v>1</x:v>
      </x:c>
      <x:c r="U95" s="8" t="n">
        <x:v>0.7581699346</x:v>
      </x:c>
      <x:c r="V95" s="6" t="n">
        <x:v>1</x:v>
      </x:c>
    </x:row>
    <x:row r="96" ht="28" customHeight="1">
      <x:c r="A96" s="4" t="str">
        <x:v>UCSD-PTGBM-0060_01</x:v>
      </x:c>
      <x:c r="B96" s="4" t="str">
        <x:v>UCSD-PTGBM-0060</x:v>
      </x:c>
      <x:c r="C96" s="4" t="str">
        <x:v>BraTS-GLI-02315-100</x:v>
      </x:c>
      <x:c r="D96" s="4" t="str">
        <x:v>BraTS-GLI-02315</x:v>
      </x:c>
      <x:c r="E96" s="4" t="str">
        <x:v>dualid:UCSD-PTGBM-0060</x:v>
      </x:c>
      <x:c r="F96" s="6" t="n">
        <x:v>1</x:v>
      </x:c>
      <x:c r="G96" s="4" t="str">
        <x:v>derived_from_published_243_equals_192_plus_51_partition</x:v>
      </x:c>
      <x:c r="H96" s="6" t="n">
        <x:v>54</x:v>
      </x:c>
      <x:c r="I96" s="6" t="n">
        <x:v>1</x:v>
      </x:c>
      <x:c r="J96" s="6" t="n">
        <x:v>0</x:v>
      </x:c>
      <x:c r="K96" s="6" t="n">
        <x:v>-51</x:v>
      </x:c>
      <x:c r="L96" s="6" t="n">
        <x:v>51</x:v>
      </x:c>
      <x:c r="M96" s="6" t="n">
        <x:v>3.9512437186</x:v>
      </x:c>
      <x:c r="N96" s="6" t="n">
        <x:v>0</x:v>
      </x:c>
      <x:c r="O96" s="4" t="str">
        <x:v>Glioblastoma</x:v>
      </x:c>
      <x:c r="P96" s="6" t="n">
        <x:v>4</x:v>
      </x:c>
      <x:c r="Q96" s="8" t="n">
        <x:v>0.7720462575</x:v>
      </x:c>
      <x:c r="R96" s="6" t="n">
        <x:v>1</x:v>
      </x:c>
      <x:c r="S96" s="8" t="n">
        <x:v>0.8494861285</x:v>
      </x:c>
      <x:c r="T96" s="6" t="n">
        <x:v>1</x:v>
      </x:c>
      <x:c r="U96" s="8" t="n">
        <x:v>0.7516339869</x:v>
      </x:c>
      <x:c r="V96" s="6" t="n">
        <x:v>1</x:v>
      </x:c>
    </x:row>
    <x:row r="97" ht="28" customHeight="1">
      <x:c r="A97" s="4" t="str">
        <x:v>UCSD-PTGBM-0062_01</x:v>
      </x:c>
      <x:c r="B97" s="4" t="str">
        <x:v>UCSD-PTGBM-0062</x:v>
      </x:c>
      <x:c r="C97" s="4" t="str">
        <x:v>BraTS-GLI-02317-100</x:v>
      </x:c>
      <x:c r="D97" s="4" t="str">
        <x:v>BraTS-GLI-02317</x:v>
      </x:c>
      <x:c r="E97" s="4" t="str">
        <x:v>dualid:UCSD-PTGBM-0062</x:v>
      </x:c>
      <x:c r="F97" s="6" t="n">
        <x:v>1</x:v>
      </x:c>
      <x:c r="G97" s="4" t="str">
        <x:v>derived_from_published_243_equals_192_plus_51_partition</x:v>
      </x:c>
      <x:c r="H97" s="6" t="n">
        <x:v>67</x:v>
      </x:c>
      <x:c r="I97" s="6" t="n">
        <x:v>0</x:v>
      </x:c>
      <x:c r="J97" s="6" t="n">
        <x:v>0</x:v>
      </x:c>
      <x:c r="K97" s="6" t="n">
        <x:v>-26</x:v>
      </x:c>
      <x:c r="L97" s="6" t="n">
        <x:v>26</x:v>
      </x:c>
      <x:c r="M97" s="6" t="n">
        <x:v>3.295836866</x:v>
      </x:c>
      <x:c r="N97" s="6" t="n">
        <x:v>0</x:v>
      </x:c>
      <x:c r="O97" s="4" t="str">
        <x:v>Glioblastoma</x:v>
      </x:c>
      <x:c r="P97" s="6" t="n">
        <x:v>4</x:v>
      </x:c>
      <x:c r="Q97" s="8" t="n">
        <x:v>0.7832495561</x:v>
      </x:c>
      <x:c r="R97" s="6" t="n">
        <x:v>1</x:v>
      </x:c>
      <x:c r="S97" s="8" t="n">
        <x:v>0.9031717773</x:v>
      </x:c>
      <x:c r="T97" s="6" t="n">
        <x:v>1</x:v>
      </x:c>
      <x:c r="U97" s="8" t="n">
        <x:v>0.7516339869</x:v>
      </x:c>
      <x:c r="V97" s="6" t="n">
        <x:v>1</x:v>
      </x:c>
    </x:row>
    <x:row r="98" ht="28" customHeight="1">
      <x:c r="A98" s="4" t="str">
        <x:v>UCSD-PTGBM-0063_01</x:v>
      </x:c>
      <x:c r="B98" s="4" t="str">
        <x:v>UCSD-PTGBM-0063</x:v>
      </x:c>
      <x:c r="C98" s="4" t="str">
        <x:v>BraTS-GLI-02318-100</x:v>
      </x:c>
      <x:c r="D98" s="4" t="str">
        <x:v>BraTS-GLI-02318</x:v>
      </x:c>
      <x:c r="E98" s="4" t="str">
        <x:v>dualid:UCSD-PTGBM-0063</x:v>
      </x:c>
      <x:c r="F98" s="6" t="n">
        <x:v>1</x:v>
      </x:c>
      <x:c r="G98" s="4" t="str">
        <x:v>derived_from_published_243_equals_192_plus_51_partition</x:v>
      </x:c>
      <x:c r="H98" s="6" t="n">
        <x:v>47</x:v>
      </x:c>
      <x:c r="I98" s="6" t="n">
        <x:v>1</x:v>
      </x:c>
      <x:c r="J98" s="6" t="n">
        <x:v>0</x:v>
      </x:c>
      <x:c r="K98" s="6" t="n">
        <x:v>-36</x:v>
      </x:c>
      <x:c r="L98" s="6" t="n">
        <x:v>36</x:v>
      </x:c>
      <x:c r="M98" s="6" t="n">
        <x:v>3.6109179126</x:v>
      </x:c>
      <x:c r="N98" s="6" t="n">
        <x:v>0</x:v>
      </x:c>
      <x:c r="O98" s="4" t="str">
        <x:v>Glioblastoma</x:v>
      </x:c>
      <x:c r="P98" s="6" t="n">
        <x:v>1</x:v>
      </x:c>
      <x:c r="Q98" s="8" t="n">
        <x:v>0.7267189031</x:v>
      </x:c>
      <x:c r="R98" s="6" t="n">
        <x:v>1</x:v>
      </x:c>
      <x:c r="S98" s="8" t="n">
        <x:v>0.8293960813</x:v>
      </x:c>
      <x:c r="T98" s="6" t="n">
        <x:v>1</x:v>
      </x:c>
      <x:c r="U98" s="8" t="n">
        <x:v>0.7597402597</x:v>
      </x:c>
      <x:c r="V98" s="6" t="n">
        <x:v>1</x:v>
      </x:c>
    </x:row>
    <x:row r="99" ht="28" customHeight="1">
      <x:c r="A99" s="4" t="str">
        <x:v>UCSD-PTGBM-0064_01</x:v>
      </x:c>
      <x:c r="B99" s="4" t="str">
        <x:v>UCSD-PTGBM-0064</x:v>
      </x:c>
      <x:c r="C99" s="4" t="str">
        <x:v>BraTS-GLI-02319-100</x:v>
      </x:c>
      <x:c r="D99" s="4" t="str">
        <x:v>BraTS-GLI-02319</x:v>
      </x:c>
      <x:c r="E99" s="4" t="str">
        <x:v>dualid:UCSD-PTGBM-0064</x:v>
      </x:c>
      <x:c r="F99" s="6" t="n">
        <x:v>1</x:v>
      </x:c>
      <x:c r="G99" s="4" t="str">
        <x:v>derived_from_published_243_equals_192_plus_51_partition</x:v>
      </x:c>
      <x:c r="H99" s="6" t="n">
        <x:v>76</x:v>
      </x:c>
      <x:c r="I99" s="6" t="n">
        <x:v>1</x:v>
      </x:c>
      <x:c r="J99" s="6" t="n">
        <x:v>0</x:v>
      </x:c>
      <x:c r="K99" s="6" t="n">
        <x:v>-42</x:v>
      </x:c>
      <x:c r="L99" s="6" t="n">
        <x:v>42</x:v>
      </x:c>
      <x:c r="M99" s="6" t="n">
        <x:v>3.7612001157</x:v>
      </x:c>
      <x:c r="N99" s="6" t="n">
        <x:v>0</x:v>
      </x:c>
      <x:c r="O99" s="4" t="str">
        <x:v>Glioblastoma</x:v>
      </x:c>
      <x:c r="P99" s="6" t="n">
        <x:v>5</x:v>
      </x:c>
      <x:c r="Q99" s="8" t="n">
        <x:v>0.8519076279</x:v>
      </x:c>
      <x:c r="R99" s="6" t="n">
        <x:v>1</x:v>
      </x:c>
      <x:c r="S99" s="8" t="n">
        <x:v>0.8729941132</x:v>
      </x:c>
      <x:c r="T99" s="6" t="n">
        <x:v>1</x:v>
      </x:c>
      <x:c r="U99" s="8" t="n">
        <x:v>0.7516339869</x:v>
      </x:c>
      <x:c r="V99" s="6" t="n">
        <x:v>1</x:v>
      </x:c>
    </x:row>
    <x:row r="100" ht="28" customHeight="1">
      <x:c r="A100" s="4" t="str">
        <x:v>UCSD-PTGBM-0066_02</x:v>
      </x:c>
      <x:c r="B100" s="4" t="str">
        <x:v>UCSD-PTGBM-0066</x:v>
      </x:c>
      <x:c r="C100" s="4" t="str">
        <x:v>BraTS-GLI-02321-101</x:v>
      </x:c>
      <x:c r="D100" s="4" t="str">
        <x:v>BraTS-GLI-02321</x:v>
      </x:c>
      <x:c r="E100" s="4" t="str">
        <x:v>dualid:UCSD-PTGBM-0066</x:v>
      </x:c>
      <x:c r="F100" s="6" t="n">
        <x:v>0</x:v>
      </x:c>
      <x:c r="G100" s="4" t="str">
        <x:v>explicit_negative_case_list</x:v>
      </x:c>
      <x:c r="H100" s="6" t="n">
        <x:v>62</x:v>
      </x:c>
      <x:c r="I100" s="6" t="n">
        <x:v>1</x:v>
      </x:c>
      <x:c r="J100" s="6" t="n">
        <x:v>0</x:v>
      </x:c>
      <x:c r="K100" s="6" t="n">
        <x:v>-19</x:v>
      </x:c>
      <x:c r="L100" s="6" t="n">
        <x:v>19</x:v>
      </x:c>
      <x:c r="M100" s="6" t="n">
        <x:v>2.9957322735</x:v>
      </x:c>
      <x:c r="N100" s="6" t="n">
        <x:v>0</x:v>
      </x:c>
      <x:c r="O100" s="4" t="str">
        <x:v>Glioblastoma</x:v>
      </x:c>
      <x:c r="P100" s="6" t="n">
        <x:v>4</x:v>
      </x:c>
      <x:c r="Q100" s="8" t="n">
        <x:v>0.8043220229</x:v>
      </x:c>
      <x:c r="R100" s="6" t="n">
        <x:v>1</x:v>
      </x:c>
      <x:c r="S100" s="8" t="n">
        <x:v>0.912069502</x:v>
      </x:c>
      <x:c r="T100" s="6" t="n">
        <x:v>1</x:v>
      </x:c>
      <x:c r="U100" s="8" t="n">
        <x:v>0.7516339869</x:v>
      </x:c>
      <x:c r="V100" s="6" t="n">
        <x:v>1</x:v>
      </x:c>
    </x:row>
    <x:row r="101" ht="28" customHeight="1">
      <x:c r="A101" s="4" t="str">
        <x:v>UCSD-PTGBM-0067_01</x:v>
      </x:c>
      <x:c r="B101" s="4" t="str">
        <x:v>UCSD-PTGBM-0067</x:v>
      </x:c>
      <x:c r="C101" s="4" t="str">
        <x:v>BraTS-GLI-02322-100</x:v>
      </x:c>
      <x:c r="D101" s="4" t="str">
        <x:v>BraTS-GLI-02322</x:v>
      </x:c>
      <x:c r="E101" s="4" t="str">
        <x:v>dualid:UCSD-PTGBM-0067</x:v>
      </x:c>
      <x:c r="F101" s="6" t="n">
        <x:v>1</x:v>
      </x:c>
      <x:c r="G101" s="4" t="str">
        <x:v>derived_from_published_243_equals_192_plus_51_partition</x:v>
      </x:c>
      <x:c r="H101" s="6" t="n">
        <x:v>60</x:v>
      </x:c>
      <x:c r="I101" s="6" t="n">
        <x:v>1</x:v>
      </x:c>
      <x:c r="J101" s="6" t="n">
        <x:v>0</x:v>
      </x:c>
      <x:c r="K101" s="6" t="n">
        <x:v>-33</x:v>
      </x:c>
      <x:c r="L101" s="6" t="n">
        <x:v>33</x:v>
      </x:c>
      <x:c r="M101" s="6" t="n">
        <x:v>3.5263605246</x:v>
      </x:c>
      <x:c r="N101" s="6" t="n">
        <x:v>0</x:v>
      </x:c>
      <x:c r="O101" s="4" t="str">
        <x:v>Glioblastoma</x:v>
      </x:c>
      <x:c r="P101" s="6" t="n">
        <x:v>4</x:v>
      </x:c>
      <x:c r="Q101" s="8" t="n">
        <x:v>0.7965909723</x:v>
      </x:c>
      <x:c r="R101" s="6" t="n">
        <x:v>1</x:v>
      </x:c>
      <x:c r="S101" s="8" t="n">
        <x:v>0.8831257126</x:v>
      </x:c>
      <x:c r="T101" s="6" t="n">
        <x:v>1</x:v>
      </x:c>
      <x:c r="U101" s="8" t="n">
        <x:v>0.7516339869</x:v>
      </x:c>
      <x:c r="V101" s="6" t="n">
        <x:v>1</x:v>
      </x:c>
    </x:row>
    <x:row r="102" ht="28" customHeight="1">
      <x:c r="A102" s="4" t="str">
        <x:v>UCSD-PTGBM-0068_01</x:v>
      </x:c>
      <x:c r="B102" s="4" t="str">
        <x:v>UCSD-PTGBM-0068</x:v>
      </x:c>
      <x:c r="C102" s="4" t="str">
        <x:v>BraTS-GLI-02323-100</x:v>
      </x:c>
      <x:c r="D102" s="4" t="str">
        <x:v>BraTS-GLI-02323</x:v>
      </x:c>
      <x:c r="E102" s="4" t="str">
        <x:v>dualid:UCSD-PTGBM-0068</x:v>
      </x:c>
      <x:c r="F102" s="6" t="n">
        <x:v>1</x:v>
      </x:c>
      <x:c r="G102" s="4" t="str">
        <x:v>derived_from_published_243_equals_192_plus_51_partition</x:v>
      </x:c>
      <x:c r="H102" s="6" t="n">
        <x:v>53</x:v>
      </x:c>
      <x:c r="I102" s="6" t="n">
        <x:v>1</x:v>
      </x:c>
      <x:c r="J102" s="6" t="n">
        <x:v>0</x:v>
      </x:c>
      <x:c r="K102" s="6" t="n">
        <x:v>-43</x:v>
      </x:c>
      <x:c r="L102" s="6" t="n">
        <x:v>43</x:v>
      </x:c>
      <x:c r="M102" s="6" t="n">
        <x:v>3.7841896339</x:v>
      </x:c>
      <x:c r="N102" s="6" t="n">
        <x:v>0</x:v>
      </x:c>
      <x:c r="O102" s="4" t="str">
        <x:v>Glioblastoma</x:v>
      </x:c>
      <x:c r="P102" s="6" t="n">
        <x:v>4</x:v>
      </x:c>
      <x:c r="Q102" s="8" t="n">
        <x:v>0.767758649</x:v>
      </x:c>
      <x:c r="R102" s="6" t="n">
        <x:v>1</x:v>
      </x:c>
      <x:c r="S102" s="8" t="n">
        <x:v>0.8601080523</x:v>
      </x:c>
      <x:c r="T102" s="6" t="n">
        <x:v>1</x:v>
      </x:c>
      <x:c r="U102" s="8" t="n">
        <x:v>0.7516339869</x:v>
      </x:c>
      <x:c r="V102" s="6" t="n">
        <x:v>1</x:v>
      </x:c>
    </x:row>
    <x:row r="103" ht="28" customHeight="1">
      <x:c r="A103" s="4" t="str">
        <x:v>UCSD-PTGBM-0069_01</x:v>
      </x:c>
      <x:c r="B103" s="4" t="str">
        <x:v>UCSD-PTGBM-0069</x:v>
      </x:c>
      <x:c r="C103" s="4" t="str">
        <x:v>BraTS-GLI-02324-100</x:v>
      </x:c>
      <x:c r="D103" s="4" t="str">
        <x:v>BraTS-GLI-02324</x:v>
      </x:c>
      <x:c r="E103" s="4" t="str">
        <x:v>dualid:UCSD-PTGBM-0069</x:v>
      </x:c>
      <x:c r="F103" s="6" t="n">
        <x:v>1</x:v>
      </x:c>
      <x:c r="G103" s="4" t="str">
        <x:v>derived_from_published_243_equals_192_plus_51_partition</x:v>
      </x:c>
      <x:c r="H103" s="6" t="n">
        <x:v>45</x:v>
      </x:c>
      <x:c r="I103" s="6" t="n">
        <x:v>1</x:v>
      </x:c>
      <x:c r="J103" s="6" t="n">
        <x:v>0</x:v>
      </x:c>
      <x:c r="K103" s="6" t="n">
        <x:v>-12</x:v>
      </x:c>
      <x:c r="L103" s="6" t="n">
        <x:v>12</x:v>
      </x:c>
      <x:c r="M103" s="6" t="n">
        <x:v>2.5649493575</x:v>
      </x:c>
      <x:c r="N103" s="6" t="n">
        <x:v>0</x:v>
      </x:c>
      <x:c r="O103" s="4" t="str">
        <x:v>Glioblastoma</x:v>
      </x:c>
      <x:c r="P103" s="6" t="n">
        <x:v>2</x:v>
      </x:c>
      <x:c r="Q103" s="8" t="n">
        <x:v>0.7547168174</x:v>
      </x:c>
      <x:c r="R103" s="6" t="n">
        <x:v>1</x:v>
      </x:c>
      <x:c r="S103" s="8" t="n">
        <x:v>0.851276386</x:v>
      </x:c>
      <x:c r="T103" s="6" t="n">
        <x:v>1</x:v>
      </x:c>
      <x:c r="U103" s="8" t="n">
        <x:v>0.7581699346</x:v>
      </x:c>
      <x:c r="V103" s="6" t="n">
        <x:v>1</x:v>
      </x:c>
    </x:row>
    <x:row r="104" ht="28" customHeight="1">
      <x:c r="A104" s="4" t="str">
        <x:v>UCSD-PTGBM-0070_01</x:v>
      </x:c>
      <x:c r="B104" s="4" t="str">
        <x:v>UCSD-PTGBM-0070</x:v>
      </x:c>
      <x:c r="C104" s="4" t="str">
        <x:v>BraTS-GLI-02325-100</x:v>
      </x:c>
      <x:c r="D104" s="4" t="str">
        <x:v>BraTS-GLI-02325</x:v>
      </x:c>
      <x:c r="E104" s="4" t="str">
        <x:v>dualid:UCSD-PTGBM-0070</x:v>
      </x:c>
      <x:c r="F104" s="6" t="n">
        <x:v>1</x:v>
      </x:c>
      <x:c r="G104" s="4" t="str">
        <x:v>derived_from_published_243_equals_192_plus_51_partition</x:v>
      </x:c>
      <x:c r="H104" s="6" t="n">
        <x:v>61</x:v>
      </x:c>
      <x:c r="I104" s="6" t="n">
        <x:v>1</x:v>
      </x:c>
      <x:c r="J104" s="6" t="n">
        <x:v>0</x:v>
      </x:c>
      <x:c r="K104" s="6" t="n">
        <x:v>-28</x:v>
      </x:c>
      <x:c r="L104" s="6" t="n">
        <x:v>28</x:v>
      </x:c>
      <x:c r="M104" s="6" t="n">
        <x:v>3.36729583</x:v>
      </x:c>
      <x:c r="N104" s="6" t="n">
        <x:v>0</x:v>
      </x:c>
      <x:c r="O104" s="4" t="str">
        <x:v>Glioblastoma</x:v>
      </x:c>
      <x:c r="P104" s="6" t="n">
        <x:v>3</x:v>
      </x:c>
      <x:c r="Q104" s="8" t="n">
        <x:v>0.8073931696</x:v>
      </x:c>
      <x:c r="R104" s="6" t="n">
        <x:v>1</x:v>
      </x:c>
      <x:c r="S104" s="8" t="n">
        <x:v>0.8975528507</x:v>
      </x:c>
      <x:c r="T104" s="6" t="n">
        <x:v>1</x:v>
      </x:c>
      <x:c r="U104" s="8" t="n">
        <x:v>0.7548387097</x:v>
      </x:c>
      <x:c r="V104" s="6" t="n">
        <x:v>1</x:v>
      </x:c>
    </x:row>
    <x:row r="105" ht="28" customHeight="1">
      <x:c r="A105" s="4" t="str">
        <x:v>UCSD-PTGBM-0071_01</x:v>
      </x:c>
      <x:c r="B105" s="4" t="str">
        <x:v>UCSD-PTGBM-0071</x:v>
      </x:c>
      <x:c r="C105" s="4" t="str">
        <x:v>BraTS-GLI-02326-100</x:v>
      </x:c>
      <x:c r="D105" s="4" t="str">
        <x:v>BraTS-GLI-02326</x:v>
      </x:c>
      <x:c r="E105" s="4" t="str">
        <x:v>dualid:UCSD-PTGBM-0071</x:v>
      </x:c>
      <x:c r="F105" s="6" t="n">
        <x:v>1</x:v>
      </x:c>
      <x:c r="G105" s="4" t="str">
        <x:v>derived_from_published_243_equals_192_plus_51_partition</x:v>
      </x:c>
      <x:c r="H105" s="6" t="n">
        <x:v>70</x:v>
      </x:c>
      <x:c r="I105" s="6" t="n">
        <x:v>1</x:v>
      </x:c>
      <x:c r="J105" s="6" t="n">
        <x:v>0</x:v>
      </x:c>
      <x:c r="K105" s="6" t="n">
        <x:v>-42</x:v>
      </x:c>
      <x:c r="L105" s="6" t="n">
        <x:v>42</x:v>
      </x:c>
      <x:c r="M105" s="6" t="n">
        <x:v>3.7612001157</x:v>
      </x:c>
      <x:c r="N105" s="6" t="n">
        <x:v>0</x:v>
      </x:c>
      <x:c r="O105" s="4" t="str">
        <x:v>Glioblastoma</x:v>
      </x:c>
      <x:c r="P105" s="6" t="n">
        <x:v>1</x:v>
      </x:c>
      <x:c r="Q105" s="8" t="n">
        <x:v>0.8172113449</x:v>
      </x:c>
      <x:c r="R105" s="6" t="n">
        <x:v>1</x:v>
      </x:c>
      <x:c r="S105" s="8" t="n">
        <x:v>0.8562012425</x:v>
      </x:c>
      <x:c r="T105" s="6" t="n">
        <x:v>1</x:v>
      </x:c>
      <x:c r="U105" s="8" t="n">
        <x:v>0.7597402597</x:v>
      </x:c>
      <x:c r="V105" s="6" t="n">
        <x:v>1</x:v>
      </x:c>
    </x:row>
    <x:row r="106" ht="28" customHeight="1">
      <x:c r="A106" s="4" t="str">
        <x:v>UCSD-PTGBM-0072_01</x:v>
      </x:c>
      <x:c r="B106" s="4" t="str">
        <x:v>UCSD-PTGBM-0072</x:v>
      </x:c>
      <x:c r="C106" s="4" t="str">
        <x:v>BraTS-GLI-02327-100</x:v>
      </x:c>
      <x:c r="D106" s="4" t="str">
        <x:v>BraTS-GLI-02327</x:v>
      </x:c>
      <x:c r="E106" s="4" t="str">
        <x:v>dualid:UCSD-PTGBM-0072</x:v>
      </x:c>
      <x:c r="F106" s="6" t="n">
        <x:v>1</x:v>
      </x:c>
      <x:c r="G106" s="4" t="str">
        <x:v>derived_from_published_243_equals_192_plus_51_partition</x:v>
      </x:c>
      <x:c r="H106" s="6" t="n">
        <x:v>56</x:v>
      </x:c>
      <x:c r="I106" s="6" t="n">
        <x:v>1</x:v>
      </x:c>
      <x:c r="J106" s="6" t="n">
        <x:v>0</x:v>
      </x:c>
      <x:c r="K106" s="6" t="n">
        <x:v>-21</x:v>
      </x:c>
      <x:c r="L106" s="6" t="n">
        <x:v>21</x:v>
      </x:c>
      <x:c r="M106" s="6" t="n">
        <x:v>3.0910424534</x:v>
      </x:c>
      <x:c r="N106" s="6" t="n">
        <x:v>0</x:v>
      </x:c>
      <x:c r="O106" s="4" t="str">
        <x:v>Glioblastoma</x:v>
      </x:c>
      <x:c r="P106" s="6" t="n">
        <x:v>5</x:v>
      </x:c>
      <x:c r="Q106" s="8" t="n">
        <x:v>0.7678922887</x:v>
      </x:c>
      <x:c r="R106" s="6" t="n">
        <x:v>1</x:v>
      </x:c>
      <x:c r="S106" s="8" t="n">
        <x:v>0.8794992236</x:v>
      </x:c>
      <x:c r="T106" s="6" t="n">
        <x:v>1</x:v>
      </x:c>
      <x:c r="U106" s="8" t="n">
        <x:v>0.7516339869</x:v>
      </x:c>
      <x:c r="V106" s="6" t="n">
        <x:v>1</x:v>
      </x:c>
    </x:row>
    <x:row r="107" ht="28" customHeight="1">
      <x:c r="A107" s="4" t="str">
        <x:v>UCSD-PTGBM-0074_01</x:v>
      </x:c>
      <x:c r="B107" s="4" t="str">
        <x:v>UCSD-PTGBM-0074</x:v>
      </x:c>
      <x:c r="C107" s="4" t="str">
        <x:v>BraTS-GLI-02329-100</x:v>
      </x:c>
      <x:c r="D107" s="4" t="str">
        <x:v>BraTS-GLI-02329</x:v>
      </x:c>
      <x:c r="E107" s="4" t="str">
        <x:v>dualid:UCSD-PTGBM-0074</x:v>
      </x:c>
      <x:c r="F107" s="6" t="n">
        <x:v>1</x:v>
      </x:c>
      <x:c r="G107" s="4" t="str">
        <x:v>derived_from_published_243_equals_192_plus_51_partition</x:v>
      </x:c>
      <x:c r="H107" s="6" t="n">
        <x:v>36</x:v>
      </x:c>
      <x:c r="I107" s="6" t="n">
        <x:v>1</x:v>
      </x:c>
      <x:c r="J107" s="6" t="n">
        <x:v>0</x:v>
      </x:c>
      <x:c r="K107" s="6" t="n">
        <x:v>-60</x:v>
      </x:c>
      <x:c r="L107" s="6" t="n">
        <x:v>60</x:v>
      </x:c>
      <x:c r="M107" s="6" t="n">
        <x:v>4.1108738642</x:v>
      </x:c>
      <x:c r="N107" s="6" t="n">
        <x:v>0</x:v>
      </x:c>
      <x:c r="O107" s="4" t="str">
        <x:v>Glioblastoma</x:v>
      </x:c>
      <x:c r="P107" s="6" t="n">
        <x:v>2</x:v>
      </x:c>
      <x:c r="Q107" s="8" t="n">
        <x:v>0.7163301096</x:v>
      </x:c>
      <x:c r="R107" s="6" t="n">
        <x:v>1</x:v>
      </x:c>
      <x:c r="S107" s="8" t="n">
        <x:v>0.7574595899</x:v>
      </x:c>
      <x:c r="T107" s="6" t="n">
        <x:v>1</x:v>
      </x:c>
      <x:c r="U107" s="8" t="n">
        <x:v>0.7581699346</x:v>
      </x:c>
      <x:c r="V107" s="6" t="n">
        <x:v>1</x:v>
      </x:c>
    </x:row>
    <x:row r="108" ht="28" customHeight="1">
      <x:c r="A108" s="4" t="str">
        <x:v>UCSD-PTGBM-0076_01</x:v>
      </x:c>
      <x:c r="B108" s="4" t="str">
        <x:v>UCSD-PTGBM-0076</x:v>
      </x:c>
      <x:c r="C108" s="4" t="str">
        <x:v>BraTS-GLI-02331-100</x:v>
      </x:c>
      <x:c r="D108" s="4" t="str">
        <x:v>BraTS-GLI-02331</x:v>
      </x:c>
      <x:c r="E108" s="4" t="str">
        <x:v>dualid:UCSD-PTGBM-0076</x:v>
      </x:c>
      <x:c r="F108" s="6" t="n">
        <x:v>1</x:v>
      </x:c>
      <x:c r="G108" s="4" t="str">
        <x:v>derived_from_published_243_equals_192_plus_51_partition</x:v>
      </x:c>
      <x:c r="H108" s="6" t="n">
        <x:v>29</x:v>
      </x:c>
      <x:c r="I108" s="6" t="n">
        <x:v>0</x:v>
      </x:c>
      <x:c r="J108" s="6" t="n">
        <x:v>0</x:v>
      </x:c>
      <x:c r="K108" s="6" t="n">
        <x:v>-78</x:v>
      </x:c>
      <x:c r="L108" s="6" t="n">
        <x:v>78</x:v>
      </x:c>
      <x:c r="M108" s="6" t="n">
        <x:v>4.3694478525</x:v>
      </x:c>
      <x:c r="N108" s="6" t="n">
        <x:v>0</x:v>
      </x:c>
      <x:c r="O108" s="4" t="str">
        <x:v>Glioblastoma</x:v>
      </x:c>
      <x:c r="P108" s="6" t="n">
        <x:v>2</x:v>
      </x:c>
      <x:c r="Q108" s="8" t="n">
        <x:v>0.5506195817</x:v>
      </x:c>
      <x:c r="R108" s="6" t="n">
        <x:v>1</x:v>
      </x:c>
      <x:c r="S108" s="8" t="n">
        <x:v>0.6270896238</x:v>
      </x:c>
      <x:c r="T108" s="6" t="n">
        <x:v>1</x:v>
      </x:c>
      <x:c r="U108" s="8" t="n">
        <x:v>0.7581699346</x:v>
      </x:c>
      <x:c r="V108" s="6" t="n">
        <x:v>1</x:v>
      </x:c>
    </x:row>
    <x:row r="109" ht="28" customHeight="1">
      <x:c r="A109" s="4" t="str">
        <x:v>UCSD-PTGBM-0077_01</x:v>
      </x:c>
      <x:c r="B109" s="4" t="str">
        <x:v>UCSD-PTGBM-0077</x:v>
      </x:c>
      <x:c r="C109" s="4" t="str">
        <x:v>BraTS-GLI-02332-100</x:v>
      </x:c>
      <x:c r="D109" s="4" t="str">
        <x:v>BraTS-GLI-02332</x:v>
      </x:c>
      <x:c r="E109" s="4" t="str">
        <x:v>dualid:UCSD-PTGBM-0077</x:v>
      </x:c>
      <x:c r="F109" s="6" t="n">
        <x:v>1</x:v>
      </x:c>
      <x:c r="G109" s="4" t="str">
        <x:v>derived_from_published_243_equals_192_plus_51_partition</x:v>
      </x:c>
      <x:c r="H109" s="6" t="n">
        <x:v>47</x:v>
      </x:c>
      <x:c r="I109" s="6" t="n">
        <x:v>1</x:v>
      </x:c>
      <x:c r="J109" s="6" t="n">
        <x:v>1</x:v>
      </x:c>
      <x:c r="K109" s="6" t="n">
        <x:v>-59</x:v>
      </x:c>
      <x:c r="L109" s="6" t="n">
        <x:v>59</x:v>
      </x:c>
      <x:c r="M109" s="6" t="n">
        <x:v>4.0943445622</x:v>
      </x:c>
      <x:c r="N109" s="6" t="n">
        <x:v>0</x:v>
      </x:c>
      <x:c r="O109" s="4" t="str">
        <x:v>Glioblastoma</x:v>
      </x:c>
      <x:c r="P109" s="6" t="n">
        <x:v>1</x:v>
      </x:c>
      <x:c r="Q109" s="8" t="n">
        <x:v>0.7267189031</x:v>
      </x:c>
      <x:c r="R109" s="6" t="n">
        <x:v>1</x:v>
      </x:c>
      <x:c r="S109" s="8" t="n">
        <x:v>0.8576108743</x:v>
      </x:c>
      <x:c r="T109" s="6" t="n">
        <x:v>1</x:v>
      </x:c>
      <x:c r="U109" s="8" t="n">
        <x:v>0.7597402597</x:v>
      </x:c>
      <x:c r="V109" s="6" t="n">
        <x:v>1</x:v>
      </x:c>
    </x:row>
    <x:row r="110" ht="28" customHeight="1">
      <x:c r="A110" s="4" t="str">
        <x:v>UCSD-PTGBM-0078_01</x:v>
      </x:c>
      <x:c r="B110" s="4" t="str">
        <x:v>UCSD-PTGBM-0078</x:v>
      </x:c>
      <x:c r="C110" s="4" t="str">
        <x:v>BraTS-GLI-02333-100</x:v>
      </x:c>
      <x:c r="D110" s="4" t="str">
        <x:v>BraTS-GLI-02333</x:v>
      </x:c>
      <x:c r="E110" s="4" t="str">
        <x:v>dualid:UCSD-PTGBM-0078</x:v>
      </x:c>
      <x:c r="F110" s="6" t="n">
        <x:v>1</x:v>
      </x:c>
      <x:c r="G110" s="4" t="str">
        <x:v>derived_from_published_243_equals_192_plus_51_partition</x:v>
      </x:c>
      <x:c r="H110" s="6" t="n">
        <x:v>64</x:v>
      </x:c>
      <x:c r="I110" s="6" t="n">
        <x:v>0</x:v>
      </x:c>
      <x:c r="J110" s="6" t="n">
        <x:v>1</x:v>
      </x:c>
      <x:c r="K110" s="6" t="n">
        <x:v>-82</x:v>
      </x:c>
      <x:c r="L110" s="6" t="n">
        <x:v>82</x:v>
      </x:c>
      <x:c r="M110" s="6" t="n">
        <x:v>4.4188406078</x:v>
      </x:c>
      <x:c r="N110" s="6" t="n">
        <x:v>0</x:v>
      </x:c>
      <x:c r="O110" s="4" t="str">
        <x:v>Glioblastoma</x:v>
      </x:c>
      <x:c r="P110" s="6" t="n">
        <x:v>4</x:v>
      </x:c>
      <x:c r="Q110" s="8" t="n">
        <x:v>0.7706693078</x:v>
      </x:c>
      <x:c r="R110" s="6" t="n">
        <x:v>1</x:v>
      </x:c>
      <x:c r="S110" s="8" t="n">
        <x:v>0.8696915742</x:v>
      </x:c>
      <x:c r="T110" s="6" t="n">
        <x:v>1</x:v>
      </x:c>
      <x:c r="U110" s="8" t="n">
        <x:v>0.7516339869</x:v>
      </x:c>
      <x:c r="V110" s="6" t="n">
        <x:v>1</x:v>
      </x:c>
    </x:row>
    <x:row r="111" ht="28" customHeight="1">
      <x:c r="A111" s="4" t="str">
        <x:v>UCSD-PTGBM-0079_01</x:v>
      </x:c>
      <x:c r="B111" s="4" t="str">
        <x:v>UCSD-PTGBM-0079</x:v>
      </x:c>
      <x:c r="C111" s="4" t="str">
        <x:v>BraTS-GLI-02334-100</x:v>
      </x:c>
      <x:c r="D111" s="4" t="str">
        <x:v>BraTS-GLI-02334</x:v>
      </x:c>
      <x:c r="E111" s="4" t="str">
        <x:v>dualid:UCSD-PTGBM-0079</x:v>
      </x:c>
      <x:c r="F111" s="6" t="n">
        <x:v>1</x:v>
      </x:c>
      <x:c r="G111" s="4" t="str">
        <x:v>derived_from_published_243_equals_192_plus_51_partition</x:v>
      </x:c>
      <x:c r="H111" s="6" t="n">
        <x:v>54</x:v>
      </x:c>
      <x:c r="I111" s="6" t="n">
        <x:v>1</x:v>
      </x:c>
      <x:c r="J111" s="6" t="n">
        <x:v>0</x:v>
      </x:c>
      <x:c r="K111" s="6" t="n">
        <x:v>-36</x:v>
      </x:c>
      <x:c r="L111" s="6" t="n">
        <x:v>36</x:v>
      </x:c>
      <x:c r="M111" s="6" t="n">
        <x:v>3.6109179126</x:v>
      </x:c>
      <x:c r="N111" s="6" t="n">
        <x:v>0</x:v>
      </x:c>
      <x:c r="O111" s="4" t="str">
        <x:v>Glioblastoma</x:v>
      </x:c>
      <x:c r="P111" s="6" t="n">
        <x:v>5</x:v>
      </x:c>
      <x:c r="Q111" s="8" t="n">
        <x:v>0.7578867805</x:v>
      </x:c>
      <x:c r="R111" s="6" t="n">
        <x:v>1</x:v>
      </x:c>
      <x:c r="S111" s="8" t="n">
        <x:v>0.8435481745</x:v>
      </x:c>
      <x:c r="T111" s="6" t="n">
        <x:v>1</x:v>
      </x:c>
      <x:c r="U111" s="8" t="n">
        <x:v>0.7516339869</x:v>
      </x:c>
      <x:c r="V111" s="6" t="n">
        <x:v>1</x:v>
      </x:c>
    </x:row>
    <x:row r="112" ht="28" customHeight="1">
      <x:c r="A112" s="4" t="str">
        <x:v>UCSD-PTGBM-0080_01</x:v>
      </x:c>
      <x:c r="B112" s="4" t="str">
        <x:v>UCSD-PTGBM-0080</x:v>
      </x:c>
      <x:c r="C112" s="4" t="str">
        <x:v>BraTS-GLI-02335-100</x:v>
      </x:c>
      <x:c r="D112" s="4" t="str">
        <x:v>BraTS-GLI-02335</x:v>
      </x:c>
      <x:c r="E112" s="4" t="str">
        <x:v>dualid:UCSD-PTGBM-0080</x:v>
      </x:c>
      <x:c r="F112" s="6" t="n">
        <x:v>1</x:v>
      </x:c>
      <x:c r="G112" s="4" t="str">
        <x:v>derived_from_published_243_equals_192_plus_51_partition</x:v>
      </x:c>
      <x:c r="H112" s="6" t="n">
        <x:v>68</x:v>
      </x:c>
      <x:c r="I112" s="6" t="n">
        <x:v>1</x:v>
      </x:c>
      <x:c r="J112" s="6" t="n">
        <x:v>0</x:v>
      </x:c>
      <x:c r="K112" s="6" t="n">
        <x:v>-20</x:v>
      </x:c>
      <x:c r="L112" s="6" t="n">
        <x:v>20</x:v>
      </x:c>
      <x:c r="M112" s="6" t="n">
        <x:v>3.0445224377</x:v>
      </x:c>
      <x:c r="N112" s="6" t="n">
        <x:v>0</x:v>
      </x:c>
      <x:c r="O112" s="4" t="str">
        <x:v>Glioblastoma</x:v>
      </x:c>
      <x:c r="P112" s="6" t="n">
        <x:v>3</x:v>
      </x:c>
      <x:c r="Q112" s="8" t="n">
        <x:v>0.836350816</x:v>
      </x:c>
      <x:c r="R112" s="6" t="n">
        <x:v>1</x:v>
      </x:c>
      <x:c r="S112" s="8" t="n">
        <x:v>0.919057787</x:v>
      </x:c>
      <x:c r="T112" s="6" t="n">
        <x:v>1</x:v>
      </x:c>
      <x:c r="U112" s="8" t="n">
        <x:v>0.7548387097</x:v>
      </x:c>
      <x:c r="V112" s="6" t="n">
        <x:v>1</x:v>
      </x:c>
    </x:row>
    <x:row r="113" ht="28" customHeight="1">
      <x:c r="A113" s="4" t="str">
        <x:v>UCSD-PTGBM-0081_01</x:v>
      </x:c>
      <x:c r="B113" s="4" t="str">
        <x:v>UCSD-PTGBM-0081</x:v>
      </x:c>
      <x:c r="C113" s="4" t="str">
        <x:v>BraTS-GLI-02336-100</x:v>
      </x:c>
      <x:c r="D113" s="4" t="str">
        <x:v>BraTS-GLI-02336</x:v>
      </x:c>
      <x:c r="E113" s="4" t="str">
        <x:v>dualid:UCSD-PTGBM-0081</x:v>
      </x:c>
      <x:c r="F113" s="6" t="n">
        <x:v>0</x:v>
      </x:c>
      <x:c r="G113" s="4" t="str">
        <x:v>explicit_negative_case_list</x:v>
      </x:c>
      <x:c r="H113" s="6" t="n">
        <x:v>66</x:v>
      </x:c>
      <x:c r="I113" s="6" t="n">
        <x:v>1</x:v>
      </x:c>
      <x:c r="J113" s="6" t="n">
        <x:v>0</x:v>
      </x:c>
      <x:c r="K113" s="6" t="n">
        <x:v>-21</x:v>
      </x:c>
      <x:c r="L113" s="6" t="n">
        <x:v>21</x:v>
      </x:c>
      <x:c r="M113" s="6" t="n">
        <x:v>3.0910424534</x:v>
      </x:c>
      <x:c r="N113" s="6" t="n">
        <x:v>0</x:v>
      </x:c>
      <x:c r="O113" s="4" t="str">
        <x:v>Glioblastoma</x:v>
      </x:c>
      <x:c r="P113" s="6" t="n">
        <x:v>4</x:v>
      </x:c>
      <x:c r="Q113" s="8" t="n">
        <x:v>0.8191120635</x:v>
      </x:c>
      <x:c r="R113" s="6" t="n">
        <x:v>1</x:v>
      </x:c>
      <x:c r="S113" s="8" t="n">
        <x:v>0.9105240155</x:v>
      </x:c>
      <x:c r="T113" s="6" t="n">
        <x:v>1</x:v>
      </x:c>
      <x:c r="U113" s="8" t="n">
        <x:v>0.7516339869</x:v>
      </x:c>
      <x:c r="V113" s="6" t="n">
        <x:v>1</x:v>
      </x:c>
    </x:row>
    <x:row r="114" ht="28" customHeight="1">
      <x:c r="A114" s="4" t="str">
        <x:v>UCSD-PTGBM-0082_01</x:v>
      </x:c>
      <x:c r="B114" s="4" t="str">
        <x:v>UCSD-PTGBM-0082</x:v>
      </x:c>
      <x:c r="C114" s="4" t="str">
        <x:v>BraTS-GLI-02337-100</x:v>
      </x:c>
      <x:c r="D114" s="4" t="str">
        <x:v>BraTS-GLI-02337</x:v>
      </x:c>
      <x:c r="E114" s="4" t="str">
        <x:v>dualid:UCSD-PTGBM-0082</x:v>
      </x:c>
      <x:c r="F114" s="6" t="n">
        <x:v>1</x:v>
      </x:c>
      <x:c r="G114" s="4" t="str">
        <x:v>derived_from_published_243_equals_192_plus_51_partition</x:v>
      </x:c>
      <x:c r="H114" s="6" t="n">
        <x:v>43</x:v>
      </x:c>
      <x:c r="I114" s="6" t="n">
        <x:v>1</x:v>
      </x:c>
      <x:c r="J114" s="6" t="n">
        <x:v>0</x:v>
      </x:c>
      <x:c r="K114" s="6" t="n">
        <x:v>-33</x:v>
      </x:c>
      <x:c r="L114" s="6" t="n">
        <x:v>33</x:v>
      </x:c>
      <x:c r="M114" s="6" t="n">
        <x:v>3.5263605246</x:v>
      </x:c>
      <x:c r="N114" s="6" t="n">
        <x:v>0</x:v>
      </x:c>
      <x:c r="O114" s="4" t="str">
        <x:v>Glioblastoma</x:v>
      </x:c>
      <x:c r="P114" s="6" t="n">
        <x:v>2</x:v>
      </x:c>
      <x:c r="Q114" s="8" t="n">
        <x:v>0.7464974378</x:v>
      </x:c>
      <x:c r="R114" s="6" t="n">
        <x:v>1</x:v>
      </x:c>
      <x:c r="S114" s="8" t="n">
        <x:v>0.8062599195</x:v>
      </x:c>
      <x:c r="T114" s="6" t="n">
        <x:v>1</x:v>
      </x:c>
      <x:c r="U114" s="8" t="n">
        <x:v>0.7581699346</x:v>
      </x:c>
      <x:c r="V114" s="6" t="n">
        <x:v>1</x:v>
      </x:c>
    </x:row>
    <x:row r="115" ht="28" customHeight="1">
      <x:c r="A115" s="4" t="str">
        <x:v>UCSD-PTGBM-0083_01</x:v>
      </x:c>
      <x:c r="B115" s="4" t="str">
        <x:v>UCSD-PTGBM-0083</x:v>
      </x:c>
      <x:c r="C115" s="4" t="str">
        <x:v>BraTS-GLI-02338-100</x:v>
      </x:c>
      <x:c r="D115" s="4" t="str">
        <x:v>BraTS-GLI-02338</x:v>
      </x:c>
      <x:c r="E115" s="4" t="str">
        <x:v>dualid:UCSD-PTGBM-0083</x:v>
      </x:c>
      <x:c r="F115" s="6" t="n">
        <x:v>1</x:v>
      </x:c>
      <x:c r="G115" s="4" t="str">
        <x:v>derived_from_published_243_equals_192_plus_51_partition</x:v>
      </x:c>
      <x:c r="H115" s="6" t="n">
        <x:v>59</x:v>
      </x:c>
      <x:c r="I115" s="6" t="n">
        <x:v>1</x:v>
      </x:c>
      <x:c r="J115" s="6" t="n">
        <x:v>0</x:v>
      </x:c>
      <x:c r="K115" s="6" t="n">
        <x:v>-59</x:v>
      </x:c>
      <x:c r="L115" s="6" t="n">
        <x:v>59</x:v>
      </x:c>
      <x:c r="M115" s="6" t="n">
        <x:v>4.0943445622</x:v>
      </x:c>
      <x:c r="N115" s="6" t="n">
        <x:v>0</x:v>
      </x:c>
      <x:c r="O115" s="4" t="str">
        <x:v>Glioblastoma</x:v>
      </x:c>
      <x:c r="P115" s="6" t="n">
        <x:v>5</x:v>
      </x:c>
      <x:c r="Q115" s="8" t="n">
        <x:v>0.7823522285</x:v>
      </x:c>
      <x:c r="R115" s="6" t="n">
        <x:v>1</x:v>
      </x:c>
      <x:c r="S115" s="8" t="n">
        <x:v>0.8181175964</x:v>
      </x:c>
      <x:c r="T115" s="6" t="n">
        <x:v>1</x:v>
      </x:c>
      <x:c r="U115" s="8" t="n">
        <x:v>0.7516339869</x:v>
      </x:c>
      <x:c r="V115" s="6" t="n">
        <x:v>1</x:v>
      </x:c>
    </x:row>
    <x:row r="116" ht="28" customHeight="1">
      <x:c r="A116" s="4" t="str">
        <x:v>UCSD-PTGBM-0084_01</x:v>
      </x:c>
      <x:c r="B116" s="4" t="str">
        <x:v>UCSD-PTGBM-0084</x:v>
      </x:c>
      <x:c r="C116" s="4" t="str">
        <x:v>BraTS-GLI-02339-100</x:v>
      </x:c>
      <x:c r="D116" s="4" t="str">
        <x:v>BraTS-GLI-02339</x:v>
      </x:c>
      <x:c r="E116" s="4" t="str">
        <x:v>dualid:UCSD-PTGBM-0084</x:v>
      </x:c>
      <x:c r="F116" s="6" t="n">
        <x:v>1</x:v>
      </x:c>
      <x:c r="G116" s="4" t="str">
        <x:v>derived_from_published_243_equals_192_plus_51_partition</x:v>
      </x:c>
      <x:c r="H116" s="6" t="n">
        <x:v>62</x:v>
      </x:c>
      <x:c r="I116" s="6" t="n">
        <x:v>1</x:v>
      </x:c>
      <x:c r="J116" s="6" t="n">
        <x:v>0</x:v>
      </x:c>
      <x:c r="K116" s="6" t="n">
        <x:v>-37</x:v>
      </x:c>
      <x:c r="L116" s="6" t="n">
        <x:v>37</x:v>
      </x:c>
      <x:c r="M116" s="6" t="n">
        <x:v>3.6375861597</x:v>
      </x:c>
      <x:c r="N116" s="6" t="n">
        <x:v>0</x:v>
      </x:c>
      <x:c r="O116" s="4" t="str">
        <x:v>Glioblastoma</x:v>
      </x:c>
      <x:c r="P116" s="6" t="n">
        <x:v>3</x:v>
      </x:c>
      <x:c r="Q116" s="8" t="n">
        <x:v>0.8117572268</x:v>
      </x:c>
      <x:c r="R116" s="6" t="n">
        <x:v>1</x:v>
      </x:c>
      <x:c r="S116" s="8" t="n">
        <x:v>0.8819211343</x:v>
      </x:c>
      <x:c r="T116" s="6" t="n">
        <x:v>1</x:v>
      </x:c>
      <x:c r="U116" s="8" t="n">
        <x:v>0.7548387097</x:v>
      </x:c>
      <x:c r="V116" s="6" t="n">
        <x:v>1</x:v>
      </x:c>
    </x:row>
    <x:row r="117" ht="28" customHeight="1">
      <x:c r="A117" s="4" t="str">
        <x:v>UCSD-PTGBM-0085_01</x:v>
      </x:c>
      <x:c r="B117" s="4" t="str">
        <x:v>UCSD-PTGBM-0085</x:v>
      </x:c>
      <x:c r="C117" s="4" t="str">
        <x:v>BraTS-GLI-02340-100</x:v>
      </x:c>
      <x:c r="D117" s="4" t="str">
        <x:v>BraTS-GLI-02340</x:v>
      </x:c>
      <x:c r="E117" s="4" t="str">
        <x:v>dualid:UCSD-PTGBM-0085</x:v>
      </x:c>
      <x:c r="F117" s="6" t="n">
        <x:v>0</x:v>
      </x:c>
      <x:c r="G117" s="4" t="str">
        <x:v>explicit_negative_case_list</x:v>
      </x:c>
      <x:c r="H117" s="6" t="n">
        <x:v>49</x:v>
      </x:c>
      <x:c r="I117" s="6" t="n">
        <x:v>1</x:v>
      </x:c>
      <x:c r="J117" s="6" t="n">
        <x:v>1</x:v>
      </x:c>
      <x:c r="K117" s="6" t="n">
        <x:v>-42</x:v>
      </x:c>
      <x:c r="L117" s="6" t="n">
        <x:v>42</x:v>
      </x:c>
      <x:c r="M117" s="6" t="n">
        <x:v>3.7612001157</x:v>
      </x:c>
      <x:c r="N117" s="6" t="n">
        <x:v>0</x:v>
      </x:c>
      <x:c r="O117" s="4" t="str">
        <x:v>Glioblastoma</x:v>
      </x:c>
      <x:c r="P117" s="6" t="n">
        <x:v>3</x:v>
      </x:c>
      <x:c r="Q117" s="8" t="n">
        <x:v>0.7490310416</x:v>
      </x:c>
      <x:c r="R117" s="6" t="n">
        <x:v>1</x:v>
      </x:c>
      <x:c r="S117" s="8" t="n">
        <x:v>0.9310343168</x:v>
      </x:c>
      <x:c r="T117" s="6" t="n">
        <x:v>1</x:v>
      </x:c>
      <x:c r="U117" s="8" t="n">
        <x:v>0.7548387097</x:v>
      </x:c>
      <x:c r="V117" s="6" t="n">
        <x:v>1</x:v>
      </x:c>
    </x:row>
    <x:row r="118" ht="28" customHeight="1">
      <x:c r="A118" s="4" t="str">
        <x:v>UCSD-PTGBM-0087_01</x:v>
      </x:c>
      <x:c r="B118" s="4" t="str">
        <x:v>UCSD-PTGBM-0087</x:v>
      </x:c>
      <x:c r="C118" s="4" t="str">
        <x:v>BraTS-GLI-02342-100</x:v>
      </x:c>
      <x:c r="D118" s="4" t="str">
        <x:v>BraTS-GLI-02342</x:v>
      </x:c>
      <x:c r="E118" s="4" t="str">
        <x:v>dualid:UCSD-PTGBM-0087</x:v>
      </x:c>
      <x:c r="F118" s="6" t="n">
        <x:v>1</x:v>
      </x:c>
      <x:c r="G118" s="4" t="str">
        <x:v>derived_from_published_243_equals_192_plus_51_partition</x:v>
      </x:c>
      <x:c r="H118" s="6" t="n">
        <x:v>62</x:v>
      </x:c>
      <x:c r="I118" s="6" t="n">
        <x:v>1</x:v>
      </x:c>
      <x:c r="J118" s="6" t="n">
        <x:v>0</x:v>
      </x:c>
      <x:c r="K118" s="6" t="n">
        <x:v>-43</x:v>
      </x:c>
      <x:c r="L118" s="6" t="n">
        <x:v>43</x:v>
      </x:c>
      <x:c r="M118" s="6" t="n">
        <x:v>3.7841896339</x:v>
      </x:c>
      <x:c r="N118" s="6" t="n">
        <x:v>0</x:v>
      </x:c>
      <x:c r="O118" s="4" t="str">
        <x:v>Glioblastoma</x:v>
      </x:c>
      <x:c r="P118" s="6" t="n">
        <x:v>1</x:v>
      </x:c>
      <x:c r="Q118" s="8" t="n">
        <x:v>0.7886590923</x:v>
      </x:c>
      <x:c r="R118" s="6" t="n">
        <x:v>1</x:v>
      </x:c>
      <x:c r="S118" s="8" t="n">
        <x:v>0.842777391</x:v>
      </x:c>
      <x:c r="T118" s="6" t="n">
        <x:v>1</x:v>
      </x:c>
      <x:c r="U118" s="8" t="n">
        <x:v>0.7597402597</x:v>
      </x:c>
      <x:c r="V118" s="6" t="n">
        <x:v>1</x:v>
      </x:c>
    </x:row>
    <x:row r="119" ht="28" customHeight="1">
      <x:c r="A119" s="4" t="str">
        <x:v>UCSD-PTGBM-0088_01</x:v>
      </x:c>
      <x:c r="B119" s="4" t="str">
        <x:v>UCSD-PTGBM-0088</x:v>
      </x:c>
      <x:c r="C119" s="4" t="str">
        <x:v>BraTS-GLI-02343-100</x:v>
      </x:c>
      <x:c r="D119" s="4" t="str">
        <x:v>BraTS-GLI-02343</x:v>
      </x:c>
      <x:c r="E119" s="4" t="str">
        <x:v>dualid:UCSD-PTGBM-0088</x:v>
      </x:c>
      <x:c r="F119" s="6" t="n">
        <x:v>1</x:v>
      </x:c>
      <x:c r="G119" s="4" t="str">
        <x:v>derived_from_published_243_equals_192_plus_51_partition</x:v>
      </x:c>
      <x:c r="H119" s="6" t="n">
        <x:v>81</x:v>
      </x:c>
      <x:c r="I119" s="6" t="n">
        <x:v>1</x:v>
      </x:c>
      <x:c r="J119" s="6" t="n">
        <x:v>0</x:v>
      </x:c>
      <x:c r="K119" s="6" t="n">
        <x:v>-88</x:v>
      </x:c>
      <x:c r="L119" s="6" t="n">
        <x:v>88</x:v>
      </x:c>
      <x:c r="M119" s="6" t="n">
        <x:v>4.4886363697</x:v>
      </x:c>
      <x:c r="N119" s="6" t="n">
        <x:v>0</x:v>
      </x:c>
      <x:c r="O119" s="4" t="str">
        <x:v>Glioblastoma</x:v>
      </x:c>
      <x:c r="P119" s="6" t="n">
        <x:v>4</x:v>
      </x:c>
      <x:c r="Q119" s="8" t="n">
        <x:v>0.8668506212</x:v>
      </x:c>
      <x:c r="R119" s="6" t="n">
        <x:v>1</x:v>
      </x:c>
      <x:c r="S119" s="8" t="n">
        <x:v>0.8404143891</x:v>
      </x:c>
      <x:c r="T119" s="6" t="n">
        <x:v>1</x:v>
      </x:c>
      <x:c r="U119" s="8" t="n">
        <x:v>0.7516339869</x:v>
      </x:c>
      <x:c r="V119" s="6" t="n">
        <x:v>1</x:v>
      </x:c>
    </x:row>
    <x:row r="120" ht="28" customHeight="1">
      <x:c r="A120" s="4" t="str">
        <x:v>UCSD-PTGBM-0091_01</x:v>
      </x:c>
      <x:c r="B120" s="4" t="str">
        <x:v>UCSD-PTGBM-0091</x:v>
      </x:c>
      <x:c r="C120" s="4" t="str">
        <x:v>BraTS-GLI-02346-100</x:v>
      </x:c>
      <x:c r="D120" s="4" t="str">
        <x:v>BraTS-GLI-02346</x:v>
      </x:c>
      <x:c r="E120" s="4" t="str">
        <x:v>dualid:UCSD-PTGBM-0091</x:v>
      </x:c>
      <x:c r="F120" s="6" t="n">
        <x:v>0</x:v>
      </x:c>
      <x:c r="G120" s="4" t="str">
        <x:v>explicit_negative_case_list</x:v>
      </x:c>
      <x:c r="H120" s="6" t="n">
        <x:v>56</x:v>
      </x:c>
      <x:c r="I120" s="6" t="n">
        <x:v>1</x:v>
      </x:c>
      <x:c r="J120" s="6" t="n">
        <x:v>0</x:v>
      </x:c>
      <x:c r="K120" s="6" t="n">
        <x:v>-28</x:v>
      </x:c>
      <x:c r="L120" s="6" t="n">
        <x:v>28</x:v>
      </x:c>
      <x:c r="M120" s="6" t="n">
        <x:v>3.36729583</x:v>
      </x:c>
      <x:c r="N120" s="6" t="n">
        <x:v>0</x:v>
      </x:c>
      <x:c r="O120" s="4" t="str">
        <x:v>Glioblastoma</x:v>
      </x:c>
      <x:c r="P120" s="6" t="n">
        <x:v>1</x:v>
      </x:c>
      <x:c r="Q120" s="8" t="n">
        <x:v>0.7651873093</x:v>
      </x:c>
      <x:c r="R120" s="6" t="n">
        <x:v>1</x:v>
      </x:c>
      <x:c r="S120" s="8" t="n">
        <x:v>0.8580821819</x:v>
      </x:c>
      <x:c r="T120" s="6" t="n">
        <x:v>1</x:v>
      </x:c>
      <x:c r="U120" s="8" t="n">
        <x:v>0.7597402597</x:v>
      </x:c>
      <x:c r="V120" s="6" t="n">
        <x:v>1</x:v>
      </x:c>
    </x:row>
    <x:row r="121" ht="28" customHeight="1">
      <x:c r="A121" s="4" t="str">
        <x:v>UCSD-PTGBM-0093_01</x:v>
      </x:c>
      <x:c r="B121" s="4" t="str">
        <x:v>UCSD-PTGBM-0093</x:v>
      </x:c>
      <x:c r="C121" s="4" t="str">
        <x:v>BraTS-GLI-02348-100</x:v>
      </x:c>
      <x:c r="D121" s="4" t="str">
        <x:v>BraTS-GLI-02348</x:v>
      </x:c>
      <x:c r="E121" s="4" t="str">
        <x:v>dualid:UCSD-PTGBM-0093</x:v>
      </x:c>
      <x:c r="F121" s="6" t="n">
        <x:v>1</x:v>
      </x:c>
      <x:c r="G121" s="4" t="str">
        <x:v>derived_from_published_243_equals_192_plus_51_partition</x:v>
      </x:c>
      <x:c r="H121" s="6" t="n">
        <x:v>56</x:v>
      </x:c>
      <x:c r="I121" s="6" t="n">
        <x:v>1</x:v>
      </x:c>
      <x:c r="J121" s="6" t="n">
        <x:v>0</x:v>
      </x:c>
      <x:c r="K121" s="6" t="n">
        <x:v>-26</x:v>
      </x:c>
      <x:c r="L121" s="6" t="n">
        <x:v>26</x:v>
      </x:c>
      <x:c r="M121" s="6" t="n">
        <x:v>3.295836866</x:v>
      </x:c>
      <x:c r="N121" s="6" t="n">
        <x:v>0</x:v>
      </x:c>
      <x:c r="O121" s="4" t="str">
        <x:v>Glioblastoma</x:v>
      </x:c>
      <x:c r="P121" s="6" t="n">
        <x:v>4</x:v>
      </x:c>
      <x:c r="Q121" s="8" t="n">
        <x:v>0.7804530796</x:v>
      </x:c>
      <x:c r="R121" s="6" t="n">
        <x:v>1</x:v>
      </x:c>
      <x:c r="S121" s="8" t="n">
        <x:v>0.8926209912</x:v>
      </x:c>
      <x:c r="T121" s="6" t="n">
        <x:v>1</x:v>
      </x:c>
      <x:c r="U121" s="8" t="n">
        <x:v>0.7516339869</x:v>
      </x:c>
      <x:c r="V121" s="6" t="n">
        <x:v>1</x:v>
      </x:c>
    </x:row>
    <x:row r="122" ht="28" customHeight="1">
      <x:c r="A122" s="4" t="str">
        <x:v>UCSD-PTGBM-0094_01</x:v>
      </x:c>
      <x:c r="B122" s="4" t="str">
        <x:v>UCSD-PTGBM-0094</x:v>
      </x:c>
      <x:c r="C122" s="4" t="str">
        <x:v>BraTS-GLI-02349-100</x:v>
      </x:c>
      <x:c r="D122" s="4" t="str">
        <x:v>BraTS-GLI-02349</x:v>
      </x:c>
      <x:c r="E122" s="4" t="str">
        <x:v>dualid:UCSD-PTGBM-0094</x:v>
      </x:c>
      <x:c r="F122" s="6" t="n">
        <x:v>1</x:v>
      </x:c>
      <x:c r="G122" s="4" t="str">
        <x:v>derived_from_published_243_equals_192_plus_51_partition</x:v>
      </x:c>
      <x:c r="H122" s="6" t="n">
        <x:v>52</x:v>
      </x:c>
      <x:c r="I122" s="6" t="n">
        <x:v>1</x:v>
      </x:c>
      <x:c r="J122" s="6" t="n">
        <x:v>0</x:v>
      </x:c>
      <x:c r="K122" s="6" t="n">
        <x:v>-28</x:v>
      </x:c>
      <x:c r="L122" s="6" t="n">
        <x:v>28</x:v>
      </x:c>
      <x:c r="M122" s="6" t="n">
        <x:v>3.36729583</x:v>
      </x:c>
      <x:c r="N122" s="6" t="n">
        <x:v>0</x:v>
      </x:c>
      <x:c r="O122" s="4" t="str">
        <x:v>Glioblastoma</x:v>
      </x:c>
      <x:c r="P122" s="6" t="n">
        <x:v>5</x:v>
      </x:c>
      <x:c r="Q122" s="8" t="n">
        <x:v>0.7475917355</x:v>
      </x:c>
      <x:c r="R122" s="6" t="n">
        <x:v>1</x:v>
      </x:c>
      <x:c r="S122" s="8" t="n">
        <x:v>0.8561655661</x:v>
      </x:c>
      <x:c r="T122" s="6" t="n">
        <x:v>1</x:v>
      </x:c>
      <x:c r="U122" s="8" t="n">
        <x:v>0.7516339869</x:v>
      </x:c>
      <x:c r="V122" s="6" t="n">
        <x:v>1</x:v>
      </x:c>
    </x:row>
    <x:row r="123" ht="28" customHeight="1">
      <x:c r="A123" s="4" t="str">
        <x:v>UCSD-PTGBM-0099_01</x:v>
      </x:c>
      <x:c r="B123" s="4" t="str">
        <x:v>UCSD-PTGBM-0099</x:v>
      </x:c>
      <x:c r="C123" s="4" t="str">
        <x:v>BraTS-GLI-02354-100</x:v>
      </x:c>
      <x:c r="D123" s="4" t="str">
        <x:v>BraTS-GLI-02354</x:v>
      </x:c>
      <x:c r="E123" s="4" t="str">
        <x:v>dualid:UCSD-PTGBM-0099</x:v>
      </x:c>
      <x:c r="F123" s="6" t="n">
        <x:v>1</x:v>
      </x:c>
      <x:c r="G123" s="4" t="str">
        <x:v>derived_from_published_243_equals_192_plus_51_partition</x:v>
      </x:c>
      <x:c r="H123" s="6" t="n">
        <x:v>67</x:v>
      </x:c>
      <x:c r="I123" s="6" t="n">
        <x:v>1</x:v>
      </x:c>
      <x:c r="J123" s="6" t="n">
        <x:v>0</x:v>
      </x:c>
      <x:c r="K123" s="6" t="n">
        <x:v>-42</x:v>
      </x:c>
      <x:c r="L123" s="6" t="n">
        <x:v>42</x:v>
      </x:c>
      <x:c r="M123" s="6" t="n">
        <x:v>3.7612001157</x:v>
      </x:c>
      <x:c r="N123" s="6" t="n">
        <x:v>0</x:v>
      </x:c>
      <x:c r="O123" s="4" t="str">
        <x:v>Glioblastoma</x:v>
      </x:c>
      <x:c r="P123" s="6" t="n">
        <x:v>4</x:v>
      </x:c>
      <x:c r="Q123" s="8" t="n">
        <x:v>0.8226705704</x:v>
      </x:c>
      <x:c r="R123" s="6" t="n">
        <x:v>1</x:v>
      </x:c>
      <x:c r="S123" s="8" t="n">
        <x:v>0.875501876</x:v>
      </x:c>
      <x:c r="T123" s="6" t="n">
        <x:v>1</x:v>
      </x:c>
      <x:c r="U123" s="8" t="n">
        <x:v>0.7516339869</x:v>
      </x:c>
      <x:c r="V123" s="6" t="n">
        <x:v>1</x:v>
      </x:c>
    </x:row>
    <x:row r="124" ht="28" customHeight="1">
      <x:c r="A124" s="4" t="str">
        <x:v>UCSD-PTGBM-0100_01</x:v>
      </x:c>
      <x:c r="B124" s="4" t="str">
        <x:v>UCSD-PTGBM-0100</x:v>
      </x:c>
      <x:c r="C124" s="4" t="str">
        <x:v>BraTS-GLI-02355-100</x:v>
      </x:c>
      <x:c r="D124" s="4" t="str">
        <x:v>BraTS-GLI-02355</x:v>
      </x:c>
      <x:c r="E124" s="4" t="str">
        <x:v>dualid:UCSD-PTGBM-0100</x:v>
      </x:c>
      <x:c r="F124" s="6" t="n">
        <x:v>1</x:v>
      </x:c>
      <x:c r="G124" s="4" t="str">
        <x:v>derived_from_published_243_equals_192_plus_51_partition</x:v>
      </x:c>
      <x:c r="H124" s="6" t="n">
        <x:v>61</x:v>
      </x:c>
      <x:c r="I124" s="6" t="n">
        <x:v>0</x:v>
      </x:c>
      <x:c r="J124" s="6" t="n">
        <x:v>0</x:v>
      </x:c>
      <x:c r="K124" s="6" t="n">
        <x:v>-62</x:v>
      </x:c>
      <x:c r="L124" s="6" t="n">
        <x:v>62</x:v>
      </x:c>
      <x:c r="M124" s="6" t="n">
        <x:v>4.1431347264</x:v>
      </x:c>
      <x:c r="N124" s="6" t="n">
        <x:v>0</x:v>
      </x:c>
      <x:c r="O124" s="4" t="str">
        <x:v>Glioblastoma</x:v>
      </x:c>
      <x:c r="P124" s="6" t="n">
        <x:v>2</x:v>
      </x:c>
      <x:c r="Q124" s="8" t="n">
        <x:v>0.7121296314</x:v>
      </x:c>
      <x:c r="R124" s="6" t="n">
        <x:v>1</x:v>
      </x:c>
      <x:c r="S124" s="8" t="n">
        <x:v>0.7508806436</x:v>
      </x:c>
      <x:c r="T124" s="6" t="n">
        <x:v>1</x:v>
      </x:c>
      <x:c r="U124" s="8" t="n">
        <x:v>0.7581699346</x:v>
      </x:c>
      <x:c r="V124" s="6" t="n">
        <x:v>1</x:v>
      </x:c>
    </x:row>
    <x:row r="125" ht="28" customHeight="1">
      <x:c r="A125" s="4" t="str">
        <x:v>UCSD-PTGBM-0104_01</x:v>
      </x:c>
      <x:c r="B125" s="4" t="str">
        <x:v>UCSD-PTGBM-0104</x:v>
      </x:c>
      <x:c r="C125" s="4" t="str">
        <x:v>BraTS-GLI-02359-100</x:v>
      </x:c>
      <x:c r="D125" s="4" t="str">
        <x:v>BraTS-GLI-02359</x:v>
      </x:c>
      <x:c r="E125" s="4" t="str">
        <x:v>dualid:UCSD-PTGBM-0104</x:v>
      </x:c>
      <x:c r="F125" s="6" t="n">
        <x:v>1</x:v>
      </x:c>
      <x:c r="G125" s="4" t="str">
        <x:v>derived_from_published_243_equals_192_plus_51_partition</x:v>
      </x:c>
      <x:c r="H125" s="6" t="n">
        <x:v>55</x:v>
      </x:c>
      <x:c r="I125" s="6" t="n">
        <x:v>1</x:v>
      </x:c>
      <x:c r="J125" s="6" t="n">
        <x:v>0</x:v>
      </x:c>
      <x:c r="K125" s="6" t="n">
        <x:v>-42</x:v>
      </x:c>
      <x:c r="L125" s="6" t="n">
        <x:v>42</x:v>
      </x:c>
      <x:c r="M125" s="6" t="n">
        <x:v>3.7612001157</x:v>
      </x:c>
      <x:c r="N125" s="6" t="n">
        <x:v>0</x:v>
      </x:c>
      <x:c r="O125" s="4" t="str">
        <x:v>Glioblastoma</x:v>
      </x:c>
      <x:c r="P125" s="6" t="n">
        <x:v>3</x:v>
      </x:c>
      <x:c r="Q125" s="8" t="n">
        <x:v>0.7795946023</x:v>
      </x:c>
      <x:c r="R125" s="6" t="n">
        <x:v>1</x:v>
      </x:c>
      <x:c r="S125" s="8" t="n">
        <x:v>0.8670613545</x:v>
      </x:c>
      <x:c r="T125" s="6" t="n">
        <x:v>1</x:v>
      </x:c>
      <x:c r="U125" s="8" t="n">
        <x:v>0.7548387097</x:v>
      </x:c>
      <x:c r="V125" s="6" t="n">
        <x:v>1</x:v>
      </x:c>
    </x:row>
    <x:row r="126" ht="28" customHeight="1">
      <x:c r="A126" s="4" t="str">
        <x:v>UCSD-PTGBM-0105_01</x:v>
      </x:c>
      <x:c r="B126" s="4" t="str">
        <x:v>UCSD-PTGBM-0105</x:v>
      </x:c>
      <x:c r="C126" s="4" t="str">
        <x:v>BraTS-GLI-02360-100</x:v>
      </x:c>
      <x:c r="D126" s="4" t="str">
        <x:v>BraTS-GLI-02360</x:v>
      </x:c>
      <x:c r="E126" s="4" t="str">
        <x:v>dualid:UCSD-PTGBM-0105</x:v>
      </x:c>
      <x:c r="F126" s="6" t="n">
        <x:v>1</x:v>
      </x:c>
      <x:c r="G126" s="4" t="str">
        <x:v>derived_from_published_243_equals_192_plus_51_partition</x:v>
      </x:c>
      <x:c r="H126" s="6" t="n">
        <x:v>74</x:v>
      </x:c>
      <x:c r="I126" s="6" t="n">
        <x:v>1</x:v>
      </x:c>
      <x:c r="J126" s="6" t="n">
        <x:v>0</x:v>
      </x:c>
      <x:c r="K126" s="6" t="n">
        <x:v>-26</x:v>
      </x:c>
      <x:c r="L126" s="6" t="n">
        <x:v>26</x:v>
      </x:c>
      <x:c r="M126" s="6" t="n">
        <x:v>3.295836866</x:v>
      </x:c>
      <x:c r="N126" s="6" t="n">
        <x:v>0</x:v>
      </x:c>
      <x:c r="O126" s="4" t="str">
        <x:v>Glioblastoma</x:v>
      </x:c>
      <x:c r="P126" s="6" t="n">
        <x:v>2</x:v>
      </x:c>
      <x:c r="Q126" s="8" t="n">
        <x:v>0.8532895593</x:v>
      </x:c>
      <x:c r="R126" s="6" t="n">
        <x:v>1</x:v>
      </x:c>
      <x:c r="S126" s="8" t="n">
        <x:v>0.8802266117</x:v>
      </x:c>
      <x:c r="T126" s="6" t="n">
        <x:v>1</x:v>
      </x:c>
      <x:c r="U126" s="8" t="n">
        <x:v>0.7581699346</x:v>
      </x:c>
      <x:c r="V126" s="6" t="n">
        <x:v>1</x:v>
      </x:c>
    </x:row>
    <x:row r="127" ht="28" customHeight="1">
      <x:c r="A127" s="4" t="str">
        <x:v>UCSD-PTGBM-0106_01</x:v>
      </x:c>
      <x:c r="B127" s="4" t="str">
        <x:v>UCSD-PTGBM-0106</x:v>
      </x:c>
      <x:c r="C127" s="4" t="str">
        <x:v>BraTS-GLI-02361-100</x:v>
      </x:c>
      <x:c r="D127" s="4" t="str">
        <x:v>BraTS-GLI-02361</x:v>
      </x:c>
      <x:c r="E127" s="4" t="str">
        <x:v>dualid:UCSD-PTGBM-0106</x:v>
      </x:c>
      <x:c r="F127" s="6" t="n">
        <x:v>1</x:v>
      </x:c>
      <x:c r="G127" s="4" t="str">
        <x:v>derived_from_published_243_equals_192_plus_51_partition</x:v>
      </x:c>
      <x:c r="H127" s="6" t="n">
        <x:v>56</x:v>
      </x:c>
      <x:c r="I127" s="6" t="n">
        <x:v>1</x:v>
      </x:c>
      <x:c r="J127" s="6" t="n">
        <x:v>0</x:v>
      </x:c>
      <x:c r="K127" s="6" t="n">
        <x:v>-33</x:v>
      </x:c>
      <x:c r="L127" s="6" t="n">
        <x:v>33</x:v>
      </x:c>
      <x:c r="M127" s="6" t="n">
        <x:v>3.5263605246</x:v>
      </x:c>
      <x:c r="N127" s="6" t="n">
        <x:v>0</x:v>
      </x:c>
      <x:c r="O127" s="4" t="str">
        <x:v>Glioblastoma</x:v>
      </x:c>
      <x:c r="P127" s="6" t="n">
        <x:v>3</x:v>
      </x:c>
      <x:c r="Q127" s="8" t="n">
        <x:v>0.7844203394</x:v>
      </x:c>
      <x:c r="R127" s="6" t="n">
        <x:v>1</x:v>
      </x:c>
      <x:c r="S127" s="8" t="n">
        <x:v>0.8838641147</x:v>
      </x:c>
      <x:c r="T127" s="6" t="n">
        <x:v>1</x:v>
      </x:c>
      <x:c r="U127" s="8" t="n">
        <x:v>0.7548387097</x:v>
      </x:c>
      <x:c r="V127" s="6" t="n">
        <x:v>1</x:v>
      </x:c>
    </x:row>
    <x:row r="128" ht="28" customHeight="1">
      <x:c r="A128" s="4" t="str">
        <x:v>UCSD-PTGBM-0107_01</x:v>
      </x:c>
      <x:c r="B128" s="4" t="str">
        <x:v>UCSD-PTGBM-0107</x:v>
      </x:c>
      <x:c r="C128" s="4" t="str">
        <x:v>BraTS-GLI-02362-100</x:v>
      </x:c>
      <x:c r="D128" s="4" t="str">
        <x:v>BraTS-GLI-02362</x:v>
      </x:c>
      <x:c r="E128" s="4" t="str">
        <x:v>dualid:UCSD-PTGBM-0107</x:v>
      </x:c>
      <x:c r="F128" s="6" t="n">
        <x:v>1</x:v>
      </x:c>
      <x:c r="G128" s="4" t="str">
        <x:v>derived_from_published_243_equals_192_plus_51_partition</x:v>
      </x:c>
      <x:c r="H128" s="6" t="n">
        <x:v>76</x:v>
      </x:c>
      <x:c r="I128" s="6" t="n">
        <x:v>1</x:v>
      </x:c>
      <x:c r="J128" s="6" t="n">
        <x:v>0</x:v>
      </x:c>
      <x:c r="K128" s="6" t="n">
        <x:v>-52</x:v>
      </x:c>
      <x:c r="L128" s="6" t="n">
        <x:v>52</x:v>
      </x:c>
      <x:c r="M128" s="6" t="n">
        <x:v>3.9702919136</x:v>
      </x:c>
      <x:c r="N128" s="6" t="n">
        <x:v>0</x:v>
      </x:c>
      <x:c r="O128" s="4" t="str">
        <x:v>Glioblastoma</x:v>
      </x:c>
      <x:c r="P128" s="6" t="n">
        <x:v>5</x:v>
      </x:c>
      <x:c r="Q128" s="8" t="n">
        <x:v>0.8519076279</x:v>
      </x:c>
      <x:c r="R128" s="6" t="n">
        <x:v>1</x:v>
      </x:c>
      <x:c r="S128" s="8" t="n">
        <x:v>0.8602862253</x:v>
      </x:c>
      <x:c r="T128" s="6" t="n">
        <x:v>1</x:v>
      </x:c>
      <x:c r="U128" s="8" t="n">
        <x:v>0.7516339869</x:v>
      </x:c>
      <x:c r="V128" s="6" t="n">
        <x:v>1</x:v>
      </x:c>
    </x:row>
    <x:row r="129" ht="28" customHeight="1">
      <x:c r="A129" s="4" t="str">
        <x:v>UCSD-PTGBM-0108_01</x:v>
      </x:c>
      <x:c r="B129" s="4" t="str">
        <x:v>UCSD-PTGBM-0108</x:v>
      </x:c>
      <x:c r="C129" s="4" t="str">
        <x:v>BraTS-GLI-02363-100</x:v>
      </x:c>
      <x:c r="D129" s="4" t="str">
        <x:v>BraTS-GLI-02363</x:v>
      </x:c>
      <x:c r="E129" s="4" t="str">
        <x:v>dualid:UCSD-PTGBM-0108</x:v>
      </x:c>
      <x:c r="F129" s="6" t="n">
        <x:v>1</x:v>
      </x:c>
      <x:c r="G129" s="4" t="str">
        <x:v>derived_from_published_243_equals_192_plus_51_partition</x:v>
      </x:c>
      <x:c r="H129" s="6" t="n">
        <x:v>41</x:v>
      </x:c>
      <x:c r="I129" s="6" t="n">
        <x:v>1</x:v>
      </x:c>
      <x:c r="J129" s="6" t="n">
        <x:v>0</x:v>
      </x:c>
      <x:c r="K129" s="6" t="n">
        <x:v>-35</x:v>
      </x:c>
      <x:c r="L129" s="6" t="n">
        <x:v>35</x:v>
      </x:c>
      <x:c r="M129" s="6" t="n">
        <x:v>3.5835189385</x:v>
      </x:c>
      <x:c r="N129" s="6" t="n">
        <x:v>0</x:v>
      </x:c>
      <x:c r="O129" s="4" t="str">
        <x:v>Glioblastoma</x:v>
      </x:c>
      <x:c r="P129" s="6" t="n">
        <x:v>2</x:v>
      </x:c>
      <x:c r="Q129" s="8" t="n">
        <x:v>0.7380982084</x:v>
      </x:c>
      <x:c r="R129" s="6" t="n">
        <x:v>1</x:v>
      </x:c>
      <x:c r="S129" s="8" t="n">
        <x:v>0.7984440455</x:v>
      </x:c>
      <x:c r="T129" s="6" t="n">
        <x:v>1</x:v>
      </x:c>
      <x:c r="U129" s="8" t="n">
        <x:v>0.7581699346</x:v>
      </x:c>
      <x:c r="V129" s="6" t="n">
        <x:v>1</x:v>
      </x:c>
    </x:row>
    <x:row r="130" ht="28" customHeight="1">
      <x:c r="A130" s="4" t="str">
        <x:v>UCSD-PTGBM-0109_01</x:v>
      </x:c>
      <x:c r="B130" s="4" t="str">
        <x:v>UCSD-PTGBM-0109</x:v>
      </x:c>
      <x:c r="C130" s="4" t="str">
        <x:v>BraTS-GLI-02364-100</x:v>
      </x:c>
      <x:c r="D130" s="4" t="str">
        <x:v>BraTS-GLI-02364</x:v>
      </x:c>
      <x:c r="E130" s="4" t="str">
        <x:v>dualid:UCSD-PTGBM-0109</x:v>
      </x:c>
      <x:c r="F130" s="6" t="n">
        <x:v>1</x:v>
      </x:c>
      <x:c r="G130" s="4" t="str">
        <x:v>derived_from_published_243_equals_192_plus_51_partition</x:v>
      </x:c>
      <x:c r="H130" s="6" t="n">
        <x:v>62</x:v>
      </x:c>
      <x:c r="I130" s="6" t="n">
        <x:v>1</x:v>
      </x:c>
      <x:c r="J130" s="6" t="n">
        <x:v>0</x:v>
      </x:c>
      <x:c r="K130" s="6" t="n">
        <x:v>-17</x:v>
      </x:c>
      <x:c r="L130" s="6" t="n">
        <x:v>17</x:v>
      </x:c>
      <x:c r="M130" s="6" t="n">
        <x:v>2.8903717579</x:v>
      </x:c>
      <x:c r="N130" s="6" t="n">
        <x:v>0</x:v>
      </x:c>
      <x:c r="O130" s="4" t="str">
        <x:v>Glioblastoma</x:v>
      </x:c>
      <x:c r="P130" s="6" t="n">
        <x:v>4</x:v>
      </x:c>
      <x:c r="Q130" s="8" t="n">
        <x:v>0.8043220229</x:v>
      </x:c>
      <x:c r="R130" s="6" t="n">
        <x:v>1</x:v>
      </x:c>
      <x:c r="S130" s="8" t="n">
        <x:v>0.9167228396</x:v>
      </x:c>
      <x:c r="T130" s="6" t="n">
        <x:v>1</x:v>
      </x:c>
      <x:c r="U130" s="8" t="n">
        <x:v>0.7516339869</x:v>
      </x:c>
      <x:c r="V130" s="6" t="n">
        <x:v>1</x:v>
      </x:c>
    </x:row>
    <x:row r="131" ht="28" customHeight="1">
      <x:c r="A131" s="4" t="str">
        <x:v>UCSD-PTGBM-0109_02</x:v>
      </x:c>
      <x:c r="B131" s="4" t="str">
        <x:v>UCSD-PTGBM-0109</x:v>
      </x:c>
      <x:c r="C131" s="4" t="str">
        <x:v>BraTS-GLI-02364-101</x:v>
      </x:c>
      <x:c r="D131" s="4" t="str">
        <x:v>BraTS-GLI-02364</x:v>
      </x:c>
      <x:c r="E131" s="4" t="str">
        <x:v>dualid:UCSD-PTGBM-0109</x:v>
      </x:c>
      <x:c r="F131" s="6" t="n">
        <x:v>1</x:v>
      </x:c>
      <x:c r="G131" s="4" t="str">
        <x:v>derived_from_published_243_equals_192_plus_51_partition</x:v>
      </x:c>
      <x:c r="H131" s="6" t="n">
        <x:v>62</x:v>
      </x:c>
      <x:c r="I131" s="6" t="n">
        <x:v>1</x:v>
      </x:c>
      <x:c r="J131" s="6" t="n">
        <x:v>1</x:v>
      </x:c>
      <x:c r="K131" s="6" t="n">
        <x:v>-90</x:v>
      </x:c>
      <x:c r="L131" s="6" t="n">
        <x:v>90</x:v>
      </x:c>
      <x:c r="M131" s="6" t="n">
        <x:v>4.5108595065</x:v>
      </x:c>
      <x:c r="N131" s="6" t="n">
        <x:v>0</x:v>
      </x:c>
      <x:c r="O131" s="4" t="str">
        <x:v>Glioblastoma</x:v>
      </x:c>
      <x:c r="P131" s="6" t="n">
        <x:v>4</x:v>
      </x:c>
      <x:c r="Q131" s="8" t="n">
        <x:v>0.8043220229</x:v>
      </x:c>
      <x:c r="R131" s="6" t="n">
        <x:v>1</x:v>
      </x:c>
      <x:c r="S131" s="8" t="n">
        <x:v>0.8592570482</x:v>
      </x:c>
      <x:c r="T131" s="6" t="n">
        <x:v>1</x:v>
      </x:c>
      <x:c r="U131" s="8" t="n">
        <x:v>0.7516339869</x:v>
      </x:c>
      <x:c r="V131" s="6" t="n">
        <x:v>1</x:v>
      </x:c>
    </x:row>
    <x:row r="132" ht="28" customHeight="1">
      <x:c r="A132" s="4" t="str">
        <x:v>UCSD-PTGBM-0111_01</x:v>
      </x:c>
      <x:c r="B132" s="4" t="str">
        <x:v>UCSD-PTGBM-0111</x:v>
      </x:c>
      <x:c r="C132" s="4" t="str">
        <x:v>BraTS-GLI-02366-100</x:v>
      </x:c>
      <x:c r="D132" s="4" t="str">
        <x:v>BraTS-GLI-02366</x:v>
      </x:c>
      <x:c r="E132" s="4" t="str">
        <x:v>dualid:UCSD-PTGBM-0111</x:v>
      </x:c>
      <x:c r="F132" s="6" t="n">
        <x:v>1</x:v>
      </x:c>
      <x:c r="G132" s="4" t="str">
        <x:v>derived_from_published_243_equals_192_plus_51_partition</x:v>
      </x:c>
      <x:c r="H132" s="6" t="n">
        <x:v>57</x:v>
      </x:c>
      <x:c r="I132" s="6" t="n">
        <x:v>1</x:v>
      </x:c>
      <x:c r="J132" s="6" t="n">
        <x:v>0</x:v>
      </x:c>
      <x:c r="K132" s="6" t="n">
        <x:v>-25</x:v>
      </x:c>
      <x:c r="L132" s="6" t="n">
        <x:v>25</x:v>
      </x:c>
      <x:c r="M132" s="6" t="n">
        <x:v>3.258096538</x:v>
      </x:c>
      <x:c r="N132" s="6" t="n">
        <x:v>0</x:v>
      </x:c>
      <x:c r="O132" s="4" t="str">
        <x:v>Glioblastoma</x:v>
      </x:c>
      <x:c r="P132" s="6" t="n">
        <x:v>2</x:v>
      </x:c>
      <x:c r="Q132" s="8" t="n">
        <x:v>0.8001760373</x:v>
      </x:c>
      <x:c r="R132" s="6" t="n">
        <x:v>1</x:v>
      </x:c>
      <x:c r="S132" s="8" t="n">
        <x:v>0.8496214061</x:v>
      </x:c>
      <x:c r="T132" s="6" t="n">
        <x:v>1</x:v>
      </x:c>
      <x:c r="U132" s="8" t="n">
        <x:v>0.7581699346</x:v>
      </x:c>
      <x:c r="V132" s="6" t="n">
        <x:v>1</x:v>
      </x:c>
    </x:row>
    <x:row r="133" ht="28" customHeight="1">
      <x:c r="A133" s="4" t="str">
        <x:v>UCSD-PTGBM-0112_01</x:v>
      </x:c>
      <x:c r="B133" s="4" t="str">
        <x:v>UCSD-PTGBM-0112</x:v>
      </x:c>
      <x:c r="C133" s="4" t="str">
        <x:v>BraTS-GLI-02367-100</x:v>
      </x:c>
      <x:c r="D133" s="4" t="str">
        <x:v>BraTS-GLI-02367</x:v>
      </x:c>
      <x:c r="E133" s="4" t="str">
        <x:v>dualid:UCSD-PTGBM-0112</x:v>
      </x:c>
      <x:c r="F133" s="6" t="n">
        <x:v>1</x:v>
      </x:c>
      <x:c r="G133" s="4" t="str">
        <x:v>derived_from_published_243_equals_192_plus_51_partition</x:v>
      </x:c>
      <x:c r="H133" s="6" t="n">
        <x:v>61</x:v>
      </x:c>
      <x:c r="I133" s="6" t="n">
        <x:v>1</x:v>
      </x:c>
      <x:c r="J133" s="6" t="n">
        <x:v>0</x:v>
      </x:c>
      <x:c r="K133" s="6" t="n">
        <x:v>-33</x:v>
      </x:c>
      <x:c r="L133" s="6" t="n">
        <x:v>33</x:v>
      </x:c>
      <x:c r="M133" s="6" t="n">
        <x:v>3.5263605246</x:v>
      </x:c>
      <x:c r="N133" s="6" t="n">
        <x:v>0</x:v>
      </x:c>
      <x:c r="O133" s="4" t="str">
        <x:v>Glioblastoma</x:v>
      </x:c>
      <x:c r="P133" s="6" t="n">
        <x:v>5</x:v>
      </x:c>
      <x:c r="Q133" s="8" t="n">
        <x:v>0.7916246654</x:v>
      </x:c>
      <x:c r="R133" s="6" t="n">
        <x:v>1</x:v>
      </x:c>
      <x:c r="S133" s="8" t="n">
        <x:v>0.8619746553</x:v>
      </x:c>
      <x:c r="T133" s="6" t="n">
        <x:v>1</x:v>
      </x:c>
      <x:c r="U133" s="8" t="n">
        <x:v>0.7516339869</x:v>
      </x:c>
      <x:c r="V133" s="6" t="n">
        <x:v>1</x:v>
      </x:c>
    </x:row>
    <x:row r="134" ht="28" customHeight="1">
      <x:c r="A134" s="4" t="str">
        <x:v>UCSD-PTGBM-0113_01</x:v>
      </x:c>
      <x:c r="B134" s="4" t="str">
        <x:v>UCSD-PTGBM-0113</x:v>
      </x:c>
      <x:c r="C134" s="4" t="str">
        <x:v>BraTS-GLI-02368-100</x:v>
      </x:c>
      <x:c r="D134" s="4" t="str">
        <x:v>BraTS-GLI-02368</x:v>
      </x:c>
      <x:c r="E134" s="4" t="str">
        <x:v>dualid:UCSD-PTGBM-0113</x:v>
      </x:c>
      <x:c r="F134" s="6" t="n">
        <x:v>1</x:v>
      </x:c>
      <x:c r="G134" s="4" t="str">
        <x:v>derived_from_published_243_equals_192_plus_51_partition</x:v>
      </x:c>
      <x:c r="H134" s="6" t="n">
        <x:v>70</x:v>
      </x:c>
      <x:c r="I134" s="6" t="n">
        <x:v>1</x:v>
      </x:c>
      <x:c r="J134" s="6" t="n">
        <x:v>0</x:v>
      </x:c>
      <x:c r="K134" s="6" t="n">
        <x:v>-91</x:v>
      </x:c>
      <x:c r="L134" s="6" t="n">
        <x:v>91</x:v>
      </x:c>
      <x:c r="M134" s="6" t="n">
        <x:v>4.521788577</x:v>
      </x:c>
      <x:c r="N134" s="6" t="n">
        <x:v>0</x:v>
      </x:c>
      <x:c r="O134" s="4" t="str">
        <x:v>Glioblastoma</x:v>
      </x:c>
      <x:c r="P134" s="6" t="n">
        <x:v>2</x:v>
      </x:c>
      <x:c r="Q134" s="8" t="n">
        <x:v>0.8419509302</x:v>
      </x:c>
      <x:c r="R134" s="6" t="n">
        <x:v>1</x:v>
      </x:c>
      <x:c r="S134" s="8" t="n">
        <x:v>0.8270308231</x:v>
      </x:c>
      <x:c r="T134" s="6" t="n">
        <x:v>1</x:v>
      </x:c>
      <x:c r="U134" s="8" t="n">
        <x:v>0.7581699346</x:v>
      </x:c>
      <x:c r="V134" s="6" t="n">
        <x:v>1</x:v>
      </x:c>
    </x:row>
    <x:row r="135" ht="28" customHeight="1">
      <x:c r="A135" s="4" t="str">
        <x:v>UCSD-PTGBM-0114_01</x:v>
      </x:c>
      <x:c r="B135" s="4" t="str">
        <x:v>UCSD-PTGBM-0114</x:v>
      </x:c>
      <x:c r="C135" s="4" t="str">
        <x:v>BraTS-GLI-02369-100</x:v>
      </x:c>
      <x:c r="D135" s="4" t="str">
        <x:v>BraTS-GLI-02369</x:v>
      </x:c>
      <x:c r="E135" s="4" t="str">
        <x:v>dualid:UCSD-PTGBM-0114</x:v>
      </x:c>
      <x:c r="F135" s="6" t="n">
        <x:v>1</x:v>
      </x:c>
      <x:c r="G135" s="4" t="str">
        <x:v>derived_from_published_243_equals_192_plus_51_partition</x:v>
      </x:c>
      <x:c r="H135" s="6" t="n">
        <x:v>61</x:v>
      </x:c>
      <x:c r="I135" s="6" t="n">
        <x:v>1</x:v>
      </x:c>
      <x:c r="J135" s="6" t="n">
        <x:v>0</x:v>
      </x:c>
      <x:c r="K135" s="6" t="n">
        <x:v>-21</x:v>
      </x:c>
      <x:c r="L135" s="6" t="n">
        <x:v>21</x:v>
      </x:c>
      <x:c r="M135" s="6" t="n">
        <x:v>3.0910424534</x:v>
      </x:c>
      <x:c r="N135" s="6" t="n">
        <x:v>0</x:v>
      </x:c>
      <x:c r="O135" s="4" t="str">
        <x:v>Glioblastoma</x:v>
      </x:c>
      <x:c r="P135" s="6" t="n">
        <x:v>1</x:v>
      </x:c>
      <x:c r="Q135" s="8" t="n">
        <x:v>0.7848696378</x:v>
      </x:c>
      <x:c r="R135" s="6" t="n">
        <x:v>1</x:v>
      </x:c>
      <x:c r="S135" s="8" t="n">
        <x:v>0.8792420243</x:v>
      </x:c>
      <x:c r="T135" s="6" t="n">
        <x:v>1</x:v>
      </x:c>
      <x:c r="U135" s="8" t="n">
        <x:v>0.7597402597</x:v>
      </x:c>
      <x:c r="V135" s="6" t="n">
        <x:v>1</x:v>
      </x:c>
    </x:row>
    <x:row r="136" ht="28" customHeight="1">
      <x:c r="A136" s="4" t="str">
        <x:v>UCSD-PTGBM-0115_01</x:v>
      </x:c>
      <x:c r="B136" s="4" t="str">
        <x:v>UCSD-PTGBM-0115</x:v>
      </x:c>
      <x:c r="C136" s="4" t="str">
        <x:v>BraTS-GLI-02370-100</x:v>
      </x:c>
      <x:c r="D136" s="4" t="str">
        <x:v>BraTS-GLI-02370</x:v>
      </x:c>
      <x:c r="E136" s="4" t="str">
        <x:v>dualid:UCSD-PTGBM-0115</x:v>
      </x:c>
      <x:c r="F136" s="6" t="n">
        <x:v>0</x:v>
      </x:c>
      <x:c r="G136" s="4" t="str">
        <x:v>explicit_negative_case_list</x:v>
      </x:c>
      <x:c r="H136" s="6" t="n">
        <x:v>51</x:v>
      </x:c>
      <x:c r="I136" s="6" t="n">
        <x:v>1</x:v>
      </x:c>
      <x:c r="J136" s="6" t="n">
        <x:v>0</x:v>
      </x:c>
      <x:c r="K136" s="6" t="n">
        <x:v>-49</x:v>
      </x:c>
      <x:c r="L136" s="6" t="n">
        <x:v>49</x:v>
      </x:c>
      <x:c r="M136" s="6" t="n">
        <x:v>3.9120230054</x:v>
      </x:c>
      <x:c r="N136" s="6" t="n">
        <x:v>0</x:v>
      </x:c>
      <x:c r="O136" s="4" t="str">
        <x:v>Glioblastoma</x:v>
      </x:c>
      <x:c r="P136" s="6" t="n">
        <x:v>4</x:v>
      </x:c>
      <x:c r="Q136" s="8" t="n">
        <x:v>0.7590158284</x:v>
      </x:c>
      <x:c r="R136" s="6" t="n">
        <x:v>1</x:v>
      </x:c>
      <x:c r="S136" s="8" t="n">
        <x:v>0.8489909294</x:v>
      </x:c>
      <x:c r="T136" s="6" t="n">
        <x:v>1</x:v>
      </x:c>
      <x:c r="U136" s="8" t="n">
        <x:v>0.7516339869</x:v>
      </x:c>
      <x:c r="V136" s="6" t="n">
        <x:v>1</x:v>
      </x:c>
    </x:row>
    <x:row r="137" ht="28" customHeight="1">
      <x:c r="A137" s="4" t="str">
        <x:v>UCSD-PTGBM-0117_01</x:v>
      </x:c>
      <x:c r="B137" s="4" t="str">
        <x:v>UCSD-PTGBM-0117</x:v>
      </x:c>
      <x:c r="C137" s="4" t="str">
        <x:v>BraTS-GLI-02372-100</x:v>
      </x:c>
      <x:c r="D137" s="4" t="str">
        <x:v>BraTS-GLI-02372</x:v>
      </x:c>
      <x:c r="E137" s="4" t="str">
        <x:v>dualid:UCSD-PTGBM-0117</x:v>
      </x:c>
      <x:c r="F137" s="6" t="n">
        <x:v>1</x:v>
      </x:c>
      <x:c r="G137" s="4" t="str">
        <x:v>derived_from_published_243_equals_192_plus_51_partition</x:v>
      </x:c>
      <x:c r="H137" s="6" t="n">
        <x:v>52</x:v>
      </x:c>
      <x:c r="I137" s="6" t="n">
        <x:v>0</x:v>
      </x:c>
      <x:c r="J137" s="6" t="n">
        <x:v>0</x:v>
      </x:c>
      <x:c r="K137" s="6" t="n">
        <x:v>-622</x:v>
      </x:c>
      <x:c r="L137" s="6" t="n">
        <x:v>622</x:v>
      </x:c>
      <x:c r="M137" s="6" t="n">
        <x:v>6.4345465188</x:v>
      </x:c>
      <x:c r="N137" s="6" t="n">
        <x:v>0</x:v>
      </x:c>
      <x:c r="O137" s="4" t="str">
        <x:v>Glioblastoma</x:v>
      </x:c>
      <x:c r="P137" s="6" t="n">
        <x:v>5</x:v>
      </x:c>
      <x:c r="Q137" s="8" t="n">
        <x:v>0.7440638547</x:v>
      </x:c>
      <x:c r="R137" s="6" t="n">
        <x:v>1</x:v>
      </x:c>
      <x:c r="S137" s="8" t="n">
        <x:v>0.600597932</x:v>
      </x:c>
      <x:c r="T137" s="6" t="n">
        <x:v>1</x:v>
      </x:c>
      <x:c r="U137" s="8" t="n">
        <x:v>0.7516339869</x:v>
      </x:c>
      <x:c r="V137" s="6" t="n">
        <x:v>1</x:v>
      </x:c>
    </x:row>
    <x:row r="138" ht="28" customHeight="1">
      <x:c r="A138" s="4" t="str">
        <x:v>UCSD-PTGBM-0118_01</x:v>
      </x:c>
      <x:c r="B138" s="4" t="str">
        <x:v>UCSD-PTGBM-0118</x:v>
      </x:c>
      <x:c r="C138" s="4" t="str">
        <x:v>BraTS-GLI-02373-100</x:v>
      </x:c>
      <x:c r="D138" s="4" t="str">
        <x:v>BraTS-GLI-02373</x:v>
      </x:c>
      <x:c r="E138" s="4" t="str">
        <x:v>dualid:UCSD-PTGBM-0118</x:v>
      </x:c>
      <x:c r="F138" s="6" t="n">
        <x:v>1</x:v>
      </x:c>
      <x:c r="G138" s="4" t="str">
        <x:v>derived_from_published_243_equals_192_plus_51_partition</x:v>
      </x:c>
      <x:c r="H138" s="6" t="n">
        <x:v>41</x:v>
      </x:c>
      <x:c r="I138" s="6" t="n">
        <x:v>1</x:v>
      </x:c>
      <x:c r="J138" s="6" t="n">
        <x:v>0</x:v>
      </x:c>
      <x:c r="K138" s="6" t="n">
        <x:v>-123</x:v>
      </x:c>
      <x:c r="L138" s="6" t="n">
        <x:v>123</x:v>
      </x:c>
      <x:c r="M138" s="6" t="n">
        <x:v>4.8202815656</x:v>
      </x:c>
      <x:c r="N138" s="6" t="n">
        <x:v>0</x:v>
      </x:c>
      <x:c r="O138" s="4" t="str">
        <x:v>Glioblastoma</x:v>
      </x:c>
      <x:c r="P138" s="6" t="n">
        <x:v>3</x:v>
      </x:c>
      <x:c r="Q138" s="8" t="n">
        <x:v>0.704116651</x:v>
      </x:c>
      <x:c r="R138" s="6" t="n">
        <x:v>1</x:v>
      </x:c>
      <x:c r="S138" s="8" t="n">
        <x:v>0.7501979207</x:v>
      </x:c>
      <x:c r="T138" s="6" t="n">
        <x:v>1</x:v>
      </x:c>
      <x:c r="U138" s="8" t="n">
        <x:v>0.7548387097</x:v>
      </x:c>
      <x:c r="V138" s="6" t="n">
        <x:v>1</x:v>
      </x:c>
    </x:row>
    <x:row r="139" ht="28" customHeight="1">
      <x:c r="A139" s="4" t="str">
        <x:v>UCSD-PTGBM-0119_01</x:v>
      </x:c>
      <x:c r="B139" s="4" t="str">
        <x:v>UCSD-PTGBM-0119</x:v>
      </x:c>
      <x:c r="C139" s="4" t="str">
        <x:v>BraTS-GLI-02374-100</x:v>
      </x:c>
      <x:c r="D139" s="4" t="str">
        <x:v>BraTS-GLI-02374</x:v>
      </x:c>
      <x:c r="E139" s="4" t="str">
        <x:v>dualid:UCSD-PTGBM-0119</x:v>
      </x:c>
      <x:c r="F139" s="6" t="n">
        <x:v>0</x:v>
      </x:c>
      <x:c r="G139" s="4" t="str">
        <x:v>explicit_negative_case_list</x:v>
      </x:c>
      <x:c r="H139" s="6" t="n">
        <x:v>48</x:v>
      </x:c>
      <x:c r="I139" s="6" t="n">
        <x:v>1</x:v>
      </x:c>
      <x:c r="J139" s="6" t="n">
        <x:v>0</x:v>
      </x:c>
      <x:c r="K139" s="6" t="n">
        <x:v>-364</x:v>
      </x:c>
      <x:c r="L139" s="6" t="n">
        <x:v>364</x:v>
      </x:c>
      <x:c r="M139" s="6" t="n">
        <x:v>5.8998973536</x:v>
      </x:c>
      <x:c r="N139" s="6" t="n">
        <x:v>0</x:v>
      </x:c>
      <x:c r="O139" s="4" t="str">
        <x:v>Glioblastoma</x:v>
      </x:c>
      <x:c r="P139" s="6" t="n">
        <x:v>2</x:v>
      </x:c>
      <x:c r="Q139" s="8" t="n">
        <x:v>0.7667045141</x:v>
      </x:c>
      <x:c r="R139" s="6" t="n">
        <x:v>1</x:v>
      </x:c>
      <x:c r="S139" s="8" t="n">
        <x:v>0.6898071483</x:v>
      </x:c>
      <x:c r="T139" s="6" t="n">
        <x:v>1</x:v>
      </x:c>
      <x:c r="U139" s="8" t="n">
        <x:v>0.7581699346</x:v>
      </x:c>
      <x:c r="V139" s="6" t="n">
        <x:v>1</x:v>
      </x:c>
    </x:row>
    <x:row r="140" ht="28" customHeight="1">
      <x:c r="A140" s="4" t="str">
        <x:v>UCSD-PTGBM-0119_02</x:v>
      </x:c>
      <x:c r="B140" s="4" t="str">
        <x:v>UCSD-PTGBM-0119</x:v>
      </x:c>
      <x:c r="C140" s="4" t="str">
        <x:v>BraTS-GLI-02374-101</x:v>
      </x:c>
      <x:c r="D140" s="4" t="str">
        <x:v>BraTS-GLI-02374</x:v>
      </x:c>
      <x:c r="E140" s="4" t="str">
        <x:v>dualid:UCSD-PTGBM-0119</x:v>
      </x:c>
      <x:c r="F140" s="6" t="n">
        <x:v>0</x:v>
      </x:c>
      <x:c r="G140" s="4" t="str">
        <x:v>explicit_negative_case_list</x:v>
      </x:c>
      <x:c r="H140" s="6" t="n">
        <x:v>48</x:v>
      </x:c>
      <x:c r="I140" s="6" t="n">
        <x:v>1</x:v>
      </x:c>
      <x:c r="J140" s="6" t="n">
        <x:v>1</x:v>
      </x:c>
      <x:c r="K140" s="6" t="n">
        <x:v>-484</x:v>
      </x:c>
      <x:c r="L140" s="6" t="n">
        <x:v>484</x:v>
      </x:c>
      <x:c r="M140" s="6" t="n">
        <x:v>6.1841488909</x:v>
      </x:c>
      <x:c r="N140" s="6" t="n">
        <x:v>0</x:v>
      </x:c>
      <x:c r="O140" s="4" t="str">
        <x:v>Glioblastoma</x:v>
      </x:c>
      <x:c r="P140" s="6" t="n">
        <x:v>2</x:v>
      </x:c>
      <x:c r="Q140" s="8" t="n">
        <x:v>0.7667045141</x:v>
      </x:c>
      <x:c r="R140" s="6" t="n">
        <x:v>1</x:v>
      </x:c>
      <x:c r="S140" s="8" t="n">
        <x:v>0.8127087755</x:v>
      </x:c>
      <x:c r="T140" s="6" t="n">
        <x:v>1</x:v>
      </x:c>
      <x:c r="U140" s="8" t="n">
        <x:v>0.7581699346</x:v>
      </x:c>
      <x:c r="V140" s="6" t="n">
        <x:v>1</x:v>
      </x:c>
    </x:row>
    <x:row r="141" ht="28" customHeight="1">
      <x:c r="A141" s="4" t="str">
        <x:v>UCSD-PTGBM-0120_01</x:v>
      </x:c>
      <x:c r="B141" s="4" t="str">
        <x:v>UCSD-PTGBM-0120</x:v>
      </x:c>
      <x:c r="C141" s="4" t="str">
        <x:v>BraTS-GLI-02375-100</x:v>
      </x:c>
      <x:c r="D141" s="4" t="str">
        <x:v>BraTS-GLI-02375</x:v>
      </x:c>
      <x:c r="E141" s="4" t="str">
        <x:v>dualid:UCSD-PTGBM-0120</x:v>
      </x:c>
      <x:c r="F141" s="6" t="n">
        <x:v>1</x:v>
      </x:c>
      <x:c r="G141" s="4" t="str">
        <x:v>derived_from_published_243_equals_192_plus_51_partition</x:v>
      </x:c>
      <x:c r="H141" s="6" t="n">
        <x:v>57</x:v>
      </x:c>
      <x:c r="I141" s="6" t="n">
        <x:v>0</x:v>
      </x:c>
      <x:c r="J141" s="6" t="n">
        <x:v>0</x:v>
      </x:c>
      <x:c r="K141" s="6" t="n">
        <x:v>-407</x:v>
      </x:c>
      <x:c r="L141" s="6" t="n">
        <x:v>407</x:v>
      </x:c>
      <x:c r="M141" s="6" t="n">
        <x:v>6.0112671744</x:v>
      </x:c>
      <x:c r="N141" s="6" t="n">
        <x:v>0</x:v>
      </x:c>
      <x:c r="O141" s="4" t="str">
        <x:v>Glioblastoma</x:v>
      </x:c>
      <x:c r="P141" s="6" t="n">
        <x:v>5</x:v>
      </x:c>
      <x:c r="Q141" s="8" t="n">
        <x:v>0.7695012901</x:v>
      </x:c>
      <x:c r="R141" s="6" t="n">
        <x:v>1</x:v>
      </x:c>
      <x:c r="S141" s="8" t="n">
        <x:v>0.669041093</x:v>
      </x:c>
      <x:c r="T141" s="6" t="n">
        <x:v>1</x:v>
      </x:c>
      <x:c r="U141" s="8" t="n">
        <x:v>0.7516339869</x:v>
      </x:c>
      <x:c r="V141" s="6" t="n">
        <x:v>1</x:v>
      </x:c>
    </x:row>
    <x:row r="142" ht="28" customHeight="1">
      <x:c r="A142" s="4" t="str">
        <x:v>UCSD-PTGBM-0120_02</x:v>
      </x:c>
      <x:c r="B142" s="4" t="str">
        <x:v>UCSD-PTGBM-0120</x:v>
      </x:c>
      <x:c r="C142" s="4" t="str">
        <x:v>BraTS-GLI-02375-101</x:v>
      </x:c>
      <x:c r="D142" s="4" t="str">
        <x:v>BraTS-GLI-02375</x:v>
      </x:c>
      <x:c r="E142" s="4" t="str">
        <x:v>dualid:UCSD-PTGBM-0120</x:v>
      </x:c>
      <x:c r="F142" s="6" t="n">
        <x:v>1</x:v>
      </x:c>
      <x:c r="G142" s="4" t="str">
        <x:v>derived_from_published_243_equals_192_plus_51_partition</x:v>
      </x:c>
      <x:c r="H142" s="6" t="n">
        <x:v>57</x:v>
      </x:c>
      <x:c r="I142" s="6" t="n">
        <x:v>0</x:v>
      </x:c>
      <x:c r="J142" s="6" t="n">
        <x:v>0</x:v>
      </x:c>
      <x:c r="K142" s="6" t="n">
        <x:v>-620</x:v>
      </x:c>
      <x:c r="L142" s="6" t="n">
        <x:v>620</x:v>
      </x:c>
      <x:c r="M142" s="6" t="n">
        <x:v>6.4313310819</x:v>
      </x:c>
      <x:c r="N142" s="6" t="n">
        <x:v>0</x:v>
      </x:c>
      <x:c r="O142" s="4" t="str">
        <x:v>Glioblastoma</x:v>
      </x:c>
      <x:c r="P142" s="6" t="n">
        <x:v>5</x:v>
      </x:c>
      <x:c r="Q142" s="8" t="n">
        <x:v>0.7695012901</x:v>
      </x:c>
      <x:c r="R142" s="6" t="n">
        <x:v>1</x:v>
      </x:c>
      <x:c r="S142" s="8" t="n">
        <x:v>0.6184111144</x:v>
      </x:c>
      <x:c r="T142" s="6" t="n">
        <x:v>1</x:v>
      </x:c>
      <x:c r="U142" s="8" t="n">
        <x:v>0.7516339869</x:v>
      </x:c>
      <x:c r="V142" s="6" t="n">
        <x:v>1</x:v>
      </x:c>
    </x:row>
    <x:row r="143" ht="28" customHeight="1">
      <x:c r="A143" s="4" t="str">
        <x:v>UCSD-PTGBM-0121_01</x:v>
      </x:c>
      <x:c r="B143" s="4" t="str">
        <x:v>UCSD-PTGBM-0121</x:v>
      </x:c>
      <x:c r="C143" s="4" t="str">
        <x:v>BraTS-GLI-02376-100</x:v>
      </x:c>
      <x:c r="D143" s="4" t="str">
        <x:v>BraTS-GLI-02376</x:v>
      </x:c>
      <x:c r="E143" s="4" t="str">
        <x:v>dualid:UCSD-PTGBM-0121</x:v>
      </x:c>
      <x:c r="F143" s="6" t="n">
        <x:v>1</x:v>
      </x:c>
      <x:c r="G143" s="4" t="str">
        <x:v>derived_from_published_243_equals_192_plus_51_partition</x:v>
      </x:c>
      <x:c r="H143" s="6" t="n">
        <x:v>59</x:v>
      </x:c>
      <x:c r="I143" s="6" t="n">
        <x:v>1</x:v>
      </x:c>
      <x:c r="J143" s="6" t="n">
        <x:v>0</x:v>
      </x:c>
      <x:c r="K143" s="6" t="n">
        <x:v>-112</x:v>
      </x:c>
      <x:c r="L143" s="6" t="n">
        <x:v>112</x:v>
      </x:c>
      <x:c r="M143" s="6" t="n">
        <x:v>4.7273878187</x:v>
      </x:c>
      <x:c r="N143" s="6" t="n">
        <x:v>0</x:v>
      </x:c>
      <x:c r="O143" s="4" t="str">
        <x:v>Glioblastoma</x:v>
      </x:c>
      <x:c r="P143" s="6" t="n">
        <x:v>5</x:v>
      </x:c>
      <x:c r="Q143" s="8" t="n">
        <x:v>0.7823522285</x:v>
      </x:c>
      <x:c r="R143" s="6" t="n">
        <x:v>1</x:v>
      </x:c>
      <x:c r="S143" s="8" t="n">
        <x:v>0.7632412335</x:v>
      </x:c>
      <x:c r="T143" s="6" t="n">
        <x:v>1</x:v>
      </x:c>
      <x:c r="U143" s="8" t="n">
        <x:v>0.7516339869</x:v>
      </x:c>
      <x:c r="V143" s="6" t="n">
        <x:v>1</x:v>
      </x:c>
    </x:row>
    <x:row r="144" ht="28" customHeight="1">
      <x:c r="A144" s="4" t="str">
        <x:v>UCSD-PTGBM-0121_02</x:v>
      </x:c>
      <x:c r="B144" s="4" t="str">
        <x:v>UCSD-PTGBM-0121</x:v>
      </x:c>
      <x:c r="C144" s="4" t="str">
        <x:v>BraTS-GLI-02376-101</x:v>
      </x:c>
      <x:c r="D144" s="4" t="str">
        <x:v>BraTS-GLI-02376</x:v>
      </x:c>
      <x:c r="E144" s="4" t="str">
        <x:v>dualid:UCSD-PTGBM-0121</x:v>
      </x:c>
      <x:c r="F144" s="6" t="n">
        <x:v>1</x:v>
      </x:c>
      <x:c r="G144" s="4" t="str">
        <x:v>derived_from_published_243_equals_192_plus_51_partition</x:v>
      </x:c>
      <x:c r="H144" s="6" t="n">
        <x:v>59</x:v>
      </x:c>
      <x:c r="I144" s="6" t="n">
        <x:v>1</x:v>
      </x:c>
      <x:c r="J144" s="6" t="n">
        <x:v>1</x:v>
      </x:c>
      <x:c r="K144" s="6" t="n">
        <x:v>-303</x:v>
      </x:c>
      <x:c r="L144" s="6" t="n">
        <x:v>303</x:v>
      </x:c>
      <x:c r="M144" s="6" t="n">
        <x:v>5.7170277014</x:v>
      </x:c>
      <x:c r="N144" s="6" t="n">
        <x:v>0</x:v>
      </x:c>
      <x:c r="O144" s="4" t="str">
        <x:v>Glioblastoma</x:v>
      </x:c>
      <x:c r="P144" s="6" t="n">
        <x:v>5</x:v>
      </x:c>
      <x:c r="Q144" s="8" t="n">
        <x:v>0.7823522285</x:v>
      </x:c>
      <x:c r="R144" s="6" t="n">
        <x:v>1</x:v>
      </x:c>
      <x:c r="S144" s="8" t="n">
        <x:v>0.795669726</x:v>
      </x:c>
      <x:c r="T144" s="6" t="n">
        <x:v>1</x:v>
      </x:c>
      <x:c r="U144" s="8" t="n">
        <x:v>0.7516339869</x:v>
      </x:c>
      <x:c r="V144" s="6" t="n">
        <x:v>1</x:v>
      </x:c>
    </x:row>
    <x:row r="145" ht="28" customHeight="1">
      <x:c r="A145" s="4" t="str">
        <x:v>UCSD-PTGBM-0122_01</x:v>
      </x:c>
      <x:c r="B145" s="4" t="str">
        <x:v>UCSD-PTGBM-0122</x:v>
      </x:c>
      <x:c r="C145" s="4" t="str">
        <x:v>BraTS-GLI-02377-100</x:v>
      </x:c>
      <x:c r="D145" s="4" t="str">
        <x:v>BraTS-GLI-02377</x:v>
      </x:c>
      <x:c r="E145" s="4" t="str">
        <x:v>dualid:UCSD-PTGBM-0122</x:v>
      </x:c>
      <x:c r="F145" s="6" t="n">
        <x:v>1</x:v>
      </x:c>
      <x:c r="G145" s="4" t="str">
        <x:v>derived_from_published_243_equals_192_plus_51_partition</x:v>
      </x:c>
      <x:c r="H145" s="6" t="n">
        <x:v>52</x:v>
      </x:c>
      <x:c r="I145" s="6" t="n">
        <x:v>1</x:v>
      </x:c>
      <x:c r="J145" s="6" t="n">
        <x:v>0</x:v>
      </x:c>
      <x:c r="K145" s="6" t="n">
        <x:v>-267</x:v>
      </x:c>
      <x:c r="L145" s="6" t="n">
        <x:v>267</x:v>
      </x:c>
      <x:c r="M145" s="6" t="n">
        <x:v>5.5909869805</x:v>
      </x:c>
      <x:c r="N145" s="6" t="n">
        <x:v>0</x:v>
      </x:c>
      <x:c r="O145" s="4" t="str">
        <x:v>Glioblastoma</x:v>
      </x:c>
      <x:c r="P145" s="6" t="n">
        <x:v>3</x:v>
      </x:c>
      <x:c r="Q145" s="8" t="n">
        <x:v>0.7646560964</x:v>
      </x:c>
      <x:c r="R145" s="6" t="n">
        <x:v>1</x:v>
      </x:c>
      <x:c r="S145" s="8" t="n">
        <x:v>0.6710641821</x:v>
      </x:c>
      <x:c r="T145" s="6" t="n">
        <x:v>1</x:v>
      </x:c>
      <x:c r="U145" s="8" t="n">
        <x:v>0.7548387097</x:v>
      </x:c>
      <x:c r="V145" s="6" t="n">
        <x:v>1</x:v>
      </x:c>
    </x:row>
    <x:row r="146" ht="28" customHeight="1">
      <x:c r="A146" s="4" t="str">
        <x:v>UCSD-PTGBM-0123_01</x:v>
      </x:c>
      <x:c r="B146" s="4" t="str">
        <x:v>UCSD-PTGBM-0123</x:v>
      </x:c>
      <x:c r="C146" s="4" t="str">
        <x:v>BraTS-GLI-02378-100</x:v>
      </x:c>
      <x:c r="D146" s="4" t="str">
        <x:v>BraTS-GLI-02378</x:v>
      </x:c>
      <x:c r="E146" s="4" t="str">
        <x:v>dualid:UCSD-PTGBM-0123</x:v>
      </x:c>
      <x:c r="F146" s="6" t="n">
        <x:v>0</x:v>
      </x:c>
      <x:c r="G146" s="4" t="str">
        <x:v>explicit_negative_case_list</x:v>
      </x:c>
      <x:c r="H146" s="6" t="n">
        <x:v>52</x:v>
      </x:c>
      <x:c r="I146" s="6" t="n">
        <x:v>0</x:v>
      </x:c>
      <x:c r="J146" s="6" t="n">
        <x:v>0</x:v>
      </x:c>
      <x:c r="K146" s="6" t="n">
        <x:v>-52</x:v>
      </x:c>
      <x:c r="L146" s="6" t="n">
        <x:v>52</x:v>
      </x:c>
      <x:c r="M146" s="6" t="n">
        <x:v>3.9702919136</x:v>
      </x:c>
      <x:c r="N146" s="6" t="n">
        <x:v>0</x:v>
      </x:c>
      <x:c r="O146" s="4" t="str">
        <x:v>Glioblastoma</x:v>
      </x:c>
      <x:c r="P146" s="6" t="n">
        <x:v>5</x:v>
      </x:c>
      <x:c r="Q146" s="8" t="n">
        <x:v>0.7440638547</x:v>
      </x:c>
      <x:c r="R146" s="6" t="n">
        <x:v>1</x:v>
      </x:c>
      <x:c r="S146" s="8" t="n">
        <x:v>0.8461438396</x:v>
      </x:c>
      <x:c r="T146" s="6" t="n">
        <x:v>1</x:v>
      </x:c>
      <x:c r="U146" s="8" t="n">
        <x:v>0.7516339869</x:v>
      </x:c>
      <x:c r="V146" s="6" t="n">
        <x:v>1</x:v>
      </x:c>
    </x:row>
    <x:row r="147" ht="28" customHeight="1">
      <x:c r="A147" s="4" t="str">
        <x:v>UCSD-PTGBM-0123_02</x:v>
      </x:c>
      <x:c r="B147" s="4" t="str">
        <x:v>UCSD-PTGBM-0123</x:v>
      </x:c>
      <x:c r="C147" s="4" t="str">
        <x:v>BraTS-GLI-02378-101</x:v>
      </x:c>
      <x:c r="D147" s="4" t="str">
        <x:v>BraTS-GLI-02378</x:v>
      </x:c>
      <x:c r="E147" s="4" t="str">
        <x:v>dualid:UCSD-PTGBM-0123</x:v>
      </x:c>
      <x:c r="F147" s="6" t="n">
        <x:v>0</x:v>
      </x:c>
      <x:c r="G147" s="4" t="str">
        <x:v>explicit_negative_case_list</x:v>
      </x:c>
      <x:c r="H147" s="6" t="n">
        <x:v>52</x:v>
      </x:c>
      <x:c r="I147" s="6" t="n">
        <x:v>0</x:v>
      </x:c>
      <x:c r="J147" s="6" t="n">
        <x:v>0</x:v>
      </x:c>
      <x:c r="K147" s="6" t="n">
        <x:v>-126</x:v>
      </x:c>
      <x:c r="L147" s="6" t="n">
        <x:v>126</x:v>
      </x:c>
      <x:c r="M147" s="6" t="n">
        <x:v>4.8441870865</x:v>
      </x:c>
      <x:c r="N147" s="6" t="n">
        <x:v>0</x:v>
      </x:c>
      <x:c r="O147" s="4" t="str">
        <x:v>Glioblastoma</x:v>
      </x:c>
      <x:c r="P147" s="6" t="n">
        <x:v>5</x:v>
      </x:c>
      <x:c r="Q147" s="8" t="n">
        <x:v>0.7440638547</x:v>
      </x:c>
      <x:c r="R147" s="6" t="n">
        <x:v>1</x:v>
      </x:c>
      <x:c r="S147" s="8" t="n">
        <x:v>0.7764017706</x:v>
      </x:c>
      <x:c r="T147" s="6" t="n">
        <x:v>1</x:v>
      </x:c>
      <x:c r="U147" s="8" t="n">
        <x:v>0.7516339869</x:v>
      </x:c>
      <x:c r="V147" s="6" t="n">
        <x:v>1</x:v>
      </x:c>
    </x:row>
    <x:row r="148" ht="28" customHeight="1">
      <x:c r="A148" s="4" t="str">
        <x:v>UCSD-PTGBM-0123_03</x:v>
      </x:c>
      <x:c r="B148" s="4" t="str">
        <x:v>UCSD-PTGBM-0123</x:v>
      </x:c>
      <x:c r="C148" s="4" t="str">
        <x:v>BraTS-GLI-02378-102</x:v>
      </x:c>
      <x:c r="D148" s="4" t="str">
        <x:v>BraTS-GLI-02378</x:v>
      </x:c>
      <x:c r="E148" s="4" t="str">
        <x:v>dualid:UCSD-PTGBM-0123</x:v>
      </x:c>
      <x:c r="F148" s="6" t="n">
        <x:v>0</x:v>
      </x:c>
      <x:c r="G148" s="4" t="str">
        <x:v>explicit_negative_case_list</x:v>
      </x:c>
      <x:c r="H148" s="6" t="n">
        <x:v>52</x:v>
      </x:c>
      <x:c r="I148" s="6" t="n">
        <x:v>0</x:v>
      </x:c>
      <x:c r="J148" s="6" t="n">
        <x:v>0</x:v>
      </x:c>
      <x:c r="K148" s="6" t="n">
        <x:v>-380</x:v>
      </x:c>
      <x:c r="L148" s="6" t="n">
        <x:v>380</x:v>
      </x:c>
      <x:c r="M148" s="6" t="n">
        <x:v>5.9427993751</x:v>
      </x:c>
      <x:c r="N148" s="6" t="n">
        <x:v>0</x:v>
      </x:c>
      <x:c r="O148" s="4" t="str">
        <x:v>Glioblastoma</x:v>
      </x:c>
      <x:c r="P148" s="6" t="n">
        <x:v>5</x:v>
      </x:c>
      <x:c r="Q148" s="8" t="n">
        <x:v>0.7440638547</x:v>
      </x:c>
      <x:c r="R148" s="6" t="n">
        <x:v>1</x:v>
      </x:c>
      <x:c r="S148" s="8" t="n">
        <x:v>0.660768126</x:v>
      </x:c>
      <x:c r="T148" s="6" t="n">
        <x:v>1</x:v>
      </x:c>
      <x:c r="U148" s="8" t="n">
        <x:v>0.7516339869</x:v>
      </x:c>
      <x:c r="V148" s="6" t="n">
        <x:v>1</x:v>
      </x:c>
    </x:row>
    <x:row r="149" ht="28" customHeight="1">
      <x:c r="A149" s="4" t="str">
        <x:v>UCSD-PTGBM-0124_01</x:v>
      </x:c>
      <x:c r="B149" s="4" t="str">
        <x:v>UCSD-PTGBM-0124</x:v>
      </x:c>
      <x:c r="C149" s="4" t="str">
        <x:v>BraTS-GLI-02379-100</x:v>
      </x:c>
      <x:c r="D149" s="4" t="str">
        <x:v>BraTS-GLI-02379</x:v>
      </x:c>
      <x:c r="E149" s="4" t="str">
        <x:v>dualid:UCSD-PTGBM-0124</x:v>
      </x:c>
      <x:c r="F149" s="6" t="n">
        <x:v>1</x:v>
      </x:c>
      <x:c r="G149" s="4" t="str">
        <x:v>derived_from_published_243_equals_192_plus_51_partition</x:v>
      </x:c>
      <x:c r="H149" s="6" t="n">
        <x:v>65</x:v>
      </x:c>
      <x:c r="I149" s="6" t="n">
        <x:v>0</x:v>
      </x:c>
      <x:c r="J149" s="6" t="n">
        <x:v>0</x:v>
      </x:c>
      <x:c r="K149" s="6" t="n">
        <x:v>-15</x:v>
      </x:c>
      <x:c r="L149" s="6" t="n">
        <x:v>15</x:v>
      </x:c>
      <x:c r="M149" s="6" t="n">
        <x:v>2.7725887222</x:v>
      </x:c>
      <x:c r="N149" s="6" t="n">
        <x:v>0</x:v>
      </x:c>
      <x:c r="O149" s="4" t="str">
        <x:v>Glioblastoma</x:v>
      </x:c>
      <x:c r="P149" s="6" t="n">
        <x:v>2</x:v>
      </x:c>
      <x:c r="Q149" s="8" t="n">
        <x:v>0.729792804</x:v>
      </x:c>
      <x:c r="R149" s="6" t="n">
        <x:v>1</x:v>
      </x:c>
      <x:c r="S149" s="8" t="n">
        <x:v>0.828673203</x:v>
      </x:c>
      <x:c r="T149" s="6" t="n">
        <x:v>1</x:v>
      </x:c>
      <x:c r="U149" s="8" t="n">
        <x:v>0.7581699346</x:v>
      </x:c>
      <x:c r="V149" s="6" t="n">
        <x:v>1</x:v>
      </x:c>
    </x:row>
    <x:row r="150" ht="28" customHeight="1">
      <x:c r="A150" s="4" t="str">
        <x:v>UCSD-PTGBM-0124_02</x:v>
      </x:c>
      <x:c r="B150" s="4" t="str">
        <x:v>UCSD-PTGBM-0124</x:v>
      </x:c>
      <x:c r="C150" s="4" t="str">
        <x:v>BraTS-GLI-02379-101</x:v>
      </x:c>
      <x:c r="D150" s="4" t="str">
        <x:v>BraTS-GLI-02379</x:v>
      </x:c>
      <x:c r="E150" s="4" t="str">
        <x:v>dualid:UCSD-PTGBM-0124</x:v>
      </x:c>
      <x:c r="F150" s="6" t="n">
        <x:v>1</x:v>
      </x:c>
      <x:c r="G150" s="4" t="str">
        <x:v>derived_from_published_243_equals_192_plus_51_partition</x:v>
      </x:c>
      <x:c r="H150" s="6" t="n">
        <x:v>65</x:v>
      </x:c>
      <x:c r="I150" s="6" t="n">
        <x:v>0</x:v>
      </x:c>
      <x:c r="J150" s="6" t="n">
        <x:v>0</x:v>
      </x:c>
      <x:c r="K150" s="6" t="n">
        <x:v>-91</x:v>
      </x:c>
      <x:c r="L150" s="6" t="n">
        <x:v>91</x:v>
      </x:c>
      <x:c r="M150" s="6" t="n">
        <x:v>4.521788577</x:v>
      </x:c>
      <x:c r="N150" s="6" t="n">
        <x:v>0</x:v>
      </x:c>
      <x:c r="O150" s="4" t="str">
        <x:v>Glioblastoma</x:v>
      </x:c>
      <x:c r="P150" s="6" t="n">
        <x:v>2</x:v>
      </x:c>
      <x:c r="Q150" s="8" t="n">
        <x:v>0.729792804</x:v>
      </x:c>
      <x:c r="R150" s="6" t="n">
        <x:v>1</x:v>
      </x:c>
      <x:c r="S150" s="8" t="n">
        <x:v>0.7417321216</x:v>
      </x:c>
      <x:c r="T150" s="6" t="n">
        <x:v>1</x:v>
      </x:c>
      <x:c r="U150" s="8" t="n">
        <x:v>0.7581699346</x:v>
      </x:c>
      <x:c r="V150" s="6" t="n">
        <x:v>1</x:v>
      </x:c>
    </x:row>
    <x:row r="151" ht="28" customHeight="1">
      <x:c r="A151" s="4" t="str">
        <x:v>UCSD-PTGBM-0125_01</x:v>
      </x:c>
      <x:c r="B151" s="4" t="str">
        <x:v>UCSD-PTGBM-0125</x:v>
      </x:c>
      <x:c r="C151" s="4" t="str">
        <x:v>BraTS-GLI-02380-100</x:v>
      </x:c>
      <x:c r="D151" s="4" t="str">
        <x:v>BraTS-GLI-02380</x:v>
      </x:c>
      <x:c r="E151" s="4" t="str">
        <x:v>dualid:UCSD-PTGBM-0125</x:v>
      </x:c>
      <x:c r="F151" s="6" t="n">
        <x:v>1</x:v>
      </x:c>
      <x:c r="G151" s="4" t="str">
        <x:v>derived_from_published_243_equals_192_plus_51_partition</x:v>
      </x:c>
      <x:c r="H151" s="6" t="n">
        <x:v>52</x:v>
      </x:c>
      <x:c r="I151" s="6" t="n">
        <x:v>1</x:v>
      </x:c>
      <x:c r="J151" s="6" t="n">
        <x:v>0</x:v>
      </x:c>
      <x:c r="K151" s="6" t="n">
        <x:v>-40</x:v>
      </x:c>
      <x:c r="L151" s="6" t="n">
        <x:v>40</x:v>
      </x:c>
      <x:c r="M151" s="6" t="n">
        <x:v>3.7135720667</x:v>
      </x:c>
      <x:c r="N151" s="6" t="n">
        <x:v>0</x:v>
      </x:c>
      <x:c r="O151" s="4" t="str">
        <x:v>Glioblastoma</x:v>
      </x:c>
      <x:c r="P151" s="6" t="n">
        <x:v>2</x:v>
      </x:c>
      <x:c r="Q151" s="8" t="n">
        <x:v>0.7820439601</x:v>
      </x:c>
      <x:c r="R151" s="6" t="n">
        <x:v>1</x:v>
      </x:c>
      <x:c r="S151" s="8" t="n">
        <x:v>0.8198392616</x:v>
      </x:c>
      <x:c r="T151" s="6" t="n">
        <x:v>1</x:v>
      </x:c>
      <x:c r="U151" s="8" t="n">
        <x:v>0.7581699346</x:v>
      </x:c>
      <x:c r="V151" s="6" t="n">
        <x:v>1</x:v>
      </x:c>
    </x:row>
    <x:row r="152" ht="28" customHeight="1">
      <x:c r="A152" s="4" t="str">
        <x:v>UCSD-PTGBM-0126_01</x:v>
      </x:c>
      <x:c r="B152" s="4" t="str">
        <x:v>UCSD-PTGBM-0126</x:v>
      </x:c>
      <x:c r="C152" s="4" t="str">
        <x:v>BraTS-GLI-02381-100</x:v>
      </x:c>
      <x:c r="D152" s="4" t="str">
        <x:v>BraTS-GLI-02381</x:v>
      </x:c>
      <x:c r="E152" s="4" t="str">
        <x:v>dualid:UCSD-PTGBM-0126</x:v>
      </x:c>
      <x:c r="F152" s="6" t="n">
        <x:v>1</x:v>
      </x:c>
      <x:c r="G152" s="4" t="str">
        <x:v>derived_from_published_243_equals_192_plus_51_partition</x:v>
      </x:c>
      <x:c r="H152" s="6" t="n">
        <x:v>60</x:v>
      </x:c>
      <x:c r="I152" s="6" t="n">
        <x:v>1</x:v>
      </x:c>
      <x:c r="J152" s="6" t="n">
        <x:v>0</x:v>
      </x:c>
      <x:c r="K152" s="6" t="n">
        <x:v>-92</x:v>
      </x:c>
      <x:c r="L152" s="6" t="n">
        <x:v>92</x:v>
      </x:c>
      <x:c r="M152" s="6" t="n">
        <x:v>4.5325994932</x:v>
      </x:c>
      <x:c r="N152" s="6" t="n">
        <x:v>0</x:v>
      </x:c>
      <x:c r="O152" s="4" t="str">
        <x:v>Glioblastoma</x:v>
      </x:c>
      <x:c r="P152" s="6" t="n">
        <x:v>1</x:v>
      </x:c>
      <x:c r="Q152" s="8" t="n">
        <x:v>0.7810311018</x:v>
      </x:c>
      <x:c r="R152" s="6" t="n">
        <x:v>1</x:v>
      </x:c>
      <x:c r="S152" s="8" t="n">
        <x:v>0.7878498837</x:v>
      </x:c>
      <x:c r="T152" s="6" t="n">
        <x:v>1</x:v>
      </x:c>
      <x:c r="U152" s="8" t="n">
        <x:v>0.7597402597</x:v>
      </x:c>
      <x:c r="V152" s="6" t="n">
        <x:v>1</x:v>
      </x:c>
    </x:row>
    <x:row r="153" ht="28" customHeight="1">
      <x:c r="A153" s="4" t="str">
        <x:v>UCSD-PTGBM-0127_01</x:v>
      </x:c>
      <x:c r="B153" s="4" t="str">
        <x:v>UCSD-PTGBM-0127</x:v>
      </x:c>
      <x:c r="C153" s="4" t="str">
        <x:v>BraTS-GLI-02382-100</x:v>
      </x:c>
      <x:c r="D153" s="4" t="str">
        <x:v>BraTS-GLI-02382</x:v>
      </x:c>
      <x:c r="E153" s="4" t="str">
        <x:v>dualid:UCSD-PTGBM-0127</x:v>
      </x:c>
      <x:c r="F153" s="6" t="n">
        <x:v>1</x:v>
      </x:c>
      <x:c r="G153" s="4" t="str">
        <x:v>derived_from_published_243_equals_192_plus_51_partition</x:v>
      </x:c>
      <x:c r="H153" s="6" t="n">
        <x:v>58</x:v>
      </x:c>
      <x:c r="I153" s="6" t="n">
        <x:v>1</x:v>
      </x:c>
      <x:c r="J153" s="6" t="n">
        <x:v>0</x:v>
      </x:c>
      <x:c r="K153" s="6" t="n">
        <x:v>-94</x:v>
      </x:c>
      <x:c r="L153" s="6" t="n">
        <x:v>94</x:v>
      </x:c>
      <x:c r="M153" s="6" t="n">
        <x:v>4.5538768916</x:v>
      </x:c>
      <x:c r="N153" s="6" t="n">
        <x:v>0</x:v>
      </x:c>
      <x:c r="O153" s="4" t="str">
        <x:v>Glioblastoma</x:v>
      </x:c>
      <x:c r="P153" s="6" t="n">
        <x:v>5</x:v>
      </x:c>
      <x:c r="Q153" s="8" t="n">
        <x:v>0.7776056449</x:v>
      </x:c>
      <x:c r="R153" s="6" t="n">
        <x:v>1</x:v>
      </x:c>
      <x:c r="S153" s="8" t="n">
        <x:v>0.7768153756</x:v>
      </x:c>
      <x:c r="T153" s="6" t="n">
        <x:v>1</x:v>
      </x:c>
      <x:c r="U153" s="8" t="n">
        <x:v>0.7516339869</x:v>
      </x:c>
      <x:c r="V153" s="6" t="n">
        <x:v>1</x:v>
      </x:c>
    </x:row>
    <x:row r="154" ht="28" customHeight="1">
      <x:c r="A154" s="4" t="str">
        <x:v>UCSD-PTGBM-0130_01</x:v>
      </x:c>
      <x:c r="B154" s="4" t="str">
        <x:v>UCSD-PTGBM-0130</x:v>
      </x:c>
      <x:c r="C154" s="4" t="str">
        <x:v>BraTS-GLI-02385-100</x:v>
      </x:c>
      <x:c r="D154" s="4" t="str">
        <x:v>BraTS-GLI-02385</x:v>
      </x:c>
      <x:c r="E154" s="4" t="str">
        <x:v>dualid:UCSD-PTGBM-0130</x:v>
      </x:c>
      <x:c r="F154" s="6" t="n">
        <x:v>1</x:v>
      </x:c>
      <x:c r="G154" s="4" t="str">
        <x:v>derived_from_published_243_equals_192_plus_51_partition</x:v>
      </x:c>
      <x:c r="H154" s="6" t="n">
        <x:v>50</x:v>
      </x:c>
      <x:c r="I154" s="6" t="n">
        <x:v>1</x:v>
      </x:c>
      <x:c r="J154" s="6" t="n">
        <x:v>1</x:v>
      </x:c>
      <x:c r="K154" s="6" t="n">
        <x:v>-420</x:v>
      </x:c>
      <x:c r="L154" s="6" t="n">
        <x:v>420</x:v>
      </x:c>
      <x:c r="M154" s="6" t="n">
        <x:v>6.0426328337</x:v>
      </x:c>
      <x:c r="N154" s="6" t="n">
        <x:v>0</x:v>
      </x:c>
      <x:c r="O154" s="4" t="str">
        <x:v>Glioblastoma</x:v>
      </x:c>
      <x:c r="P154" s="6" t="n">
        <x:v>1</x:v>
      </x:c>
      <x:c r="Q154" s="8" t="n">
        <x:v>0.7399682208</x:v>
      </x:c>
      <x:c r="R154" s="6" t="n">
        <x:v>1</x:v>
      </x:c>
      <x:c r="S154" s="8" t="n">
        <x:v>0.7185074851</x:v>
      </x:c>
      <x:c r="T154" s="6" t="n">
        <x:v>1</x:v>
      </x:c>
      <x:c r="U154" s="8" t="n">
        <x:v>0.7597402597</x:v>
      </x:c>
      <x:c r="V154" s="6" t="n">
        <x:v>1</x:v>
      </x:c>
    </x:row>
    <x:row r="155" ht="28" customHeight="1">
      <x:c r="A155" s="4" t="str">
        <x:v>UCSD-PTGBM-0131_01</x:v>
      </x:c>
      <x:c r="B155" s="4" t="str">
        <x:v>UCSD-PTGBM-0131</x:v>
      </x:c>
      <x:c r="C155" s="4" t="str">
        <x:v>BraTS-GLI-02386-100</x:v>
      </x:c>
      <x:c r="D155" s="4" t="str">
        <x:v>BraTS-GLI-02386</x:v>
      </x:c>
      <x:c r="E155" s="4" t="str">
        <x:v>dualid:UCSD-PTGBM-0131</x:v>
      </x:c>
      <x:c r="F155" s="6" t="n">
        <x:v>1</x:v>
      </x:c>
      <x:c r="G155" s="4" t="str">
        <x:v>derived_from_published_243_equals_192_plus_51_partition</x:v>
      </x:c>
      <x:c r="H155" s="6" t="n">
        <x:v>38</x:v>
      </x:c>
      <x:c r="I155" s="6" t="n">
        <x:v>1</x:v>
      </x:c>
      <x:c r="J155" s="6" t="n">
        <x:v>0</x:v>
      </x:c>
      <x:c r="K155" s="6" t="n">
        <x:v>-191</x:v>
      </x:c>
      <x:c r="L155" s="6" t="n">
        <x:v>191</x:v>
      </x:c>
      <x:c r="M155" s="6" t="n">
        <x:v>5.257495372</x:v>
      </x:c>
      <x:c r="N155" s="6" t="n">
        <x:v>0</x:v>
      </x:c>
      <x:c r="O155" s="4" t="str">
        <x:v>Glioblastoma</x:v>
      </x:c>
      <x:c r="P155" s="6" t="n">
        <x:v>5</x:v>
      </x:c>
      <x:c r="Q155" s="8" t="n">
        <x:v>0.6678713966</x:v>
      </x:c>
      <x:c r="R155" s="6" t="n">
        <x:v>1</x:v>
      </x:c>
      <x:c r="S155" s="8" t="n">
        <x:v>0.6420586394</x:v>
      </x:c>
      <x:c r="T155" s="6" t="n">
        <x:v>1</x:v>
      </x:c>
      <x:c r="U155" s="8" t="n">
        <x:v>0.7516339869</x:v>
      </x:c>
      <x:c r="V155" s="6" t="n">
        <x:v>1</x:v>
      </x:c>
    </x:row>
    <x:row r="156" ht="28" customHeight="1">
      <x:c r="A156" s="4" t="str">
        <x:v>UCSD-PTGBM-0132_01</x:v>
      </x:c>
      <x:c r="B156" s="4" t="str">
        <x:v>UCSD-PTGBM-0132</x:v>
      </x:c>
      <x:c r="C156" s="4" t="str">
        <x:v>BraTS-GLI-02387-100</x:v>
      </x:c>
      <x:c r="D156" s="4" t="str">
        <x:v>BraTS-GLI-02387</x:v>
      </x:c>
      <x:c r="E156" s="4" t="str">
        <x:v>dualid:UCSD-PTGBM-0132</x:v>
      </x:c>
      <x:c r="F156" s="6" t="n">
        <x:v>1</x:v>
      </x:c>
      <x:c r="G156" s="4" t="str">
        <x:v>derived_from_published_243_equals_192_plus_51_partition</x:v>
      </x:c>
      <x:c r="H156" s="6" t="n">
        <x:v>69</x:v>
      </x:c>
      <x:c r="I156" s="6" t="n">
        <x:v>1</x:v>
      </x:c>
      <x:c r="J156" s="6" t="n">
        <x:v>0</x:v>
      </x:c>
      <x:c r="K156" s="6" t="n">
        <x:v>-26</x:v>
      </x:c>
      <x:c r="L156" s="6" t="n">
        <x:v>26</x:v>
      </x:c>
      <x:c r="M156" s="6" t="n">
        <x:v>3.295836866</x:v>
      </x:c>
      <x:c r="N156" s="6" t="n">
        <x:v>0</x:v>
      </x:c>
      <x:c r="O156" s="4" t="str">
        <x:v>Glioblastoma</x:v>
      </x:c>
      <x:c r="P156" s="6" t="n">
        <x:v>4</x:v>
      </x:c>
      <x:c r="Q156" s="8" t="n">
        <x:v>0.829622408</x:v>
      </x:c>
      <x:c r="R156" s="6" t="n">
        <x:v>1</x:v>
      </x:c>
      <x:c r="S156" s="8" t="n">
        <x:v>0.9029529421</x:v>
      </x:c>
      <x:c r="T156" s="6" t="n">
        <x:v>1</x:v>
      </x:c>
      <x:c r="U156" s="8" t="n">
        <x:v>0.7516339869</x:v>
      </x:c>
      <x:c r="V156" s="6" t="n">
        <x:v>1</x:v>
      </x:c>
    </x:row>
    <x:row r="157" ht="28" customHeight="1">
      <x:c r="A157" s="4" t="str">
        <x:v>UCSD-PTGBM-0133_02</x:v>
      </x:c>
      <x:c r="B157" s="4" t="str">
        <x:v>UCSD-PTGBM-0133</x:v>
      </x:c>
      <x:c r="C157" s="4" t="str">
        <x:v>BraTS-GLI-02388-101</x:v>
      </x:c>
      <x:c r="D157" s="4" t="str">
        <x:v>BraTS-GLI-02388</x:v>
      </x:c>
      <x:c r="E157" s="4" t="str">
        <x:v>dualid:UCSD-PTGBM-0133</x:v>
      </x:c>
      <x:c r="F157" s="6" t="n">
        <x:v>1</x:v>
      </x:c>
      <x:c r="G157" s="4" t="str">
        <x:v>derived_from_published_243_equals_192_plus_51_partition</x:v>
      </x:c>
      <x:c r="H157" s="6" t="n">
        <x:v>62</x:v>
      </x:c>
      <x:c r="I157" s="6" t="n">
        <x:v>1</x:v>
      </x:c>
      <x:c r="J157" s="6" t="n">
        <x:v>1</x:v>
      </x:c>
      <x:c r="K157" s="6" t="n">
        <x:v>-188</x:v>
      </x:c>
      <x:c r="L157" s="6" t="n">
        <x:v>188</x:v>
      </x:c>
      <x:c r="M157" s="6" t="n">
        <x:v>5.2417470151</x:v>
      </x:c>
      <x:c r="N157" s="6" t="n">
        <x:v>0</x:v>
      </x:c>
      <x:c r="O157" s="4" t="str">
        <x:v>Glioblastoma</x:v>
      </x:c>
      <x:c r="P157" s="6" t="n">
        <x:v>3</x:v>
      </x:c>
      <x:c r="Q157" s="8" t="n">
        <x:v>0.8117572268</x:v>
      </x:c>
      <x:c r="R157" s="6" t="n">
        <x:v>1</x:v>
      </x:c>
      <x:c r="S157" s="8" t="n">
        <x:v>0.8571343113</x:v>
      </x:c>
      <x:c r="T157" s="6" t="n">
        <x:v>1</x:v>
      </x:c>
      <x:c r="U157" s="8" t="n">
        <x:v>0.7548387097</x:v>
      </x:c>
      <x:c r="V157" s="6" t="n">
        <x:v>1</x:v>
      </x:c>
    </x:row>
    <x:row r="158" ht="28" customHeight="1">
      <x:c r="A158" s="4" t="str">
        <x:v>UCSD-PTGBM-0134_01</x:v>
      </x:c>
      <x:c r="B158" s="4" t="str">
        <x:v>UCSD-PTGBM-0134</x:v>
      </x:c>
      <x:c r="C158" s="4" t="str">
        <x:v>BraTS-GLI-02389-100</x:v>
      </x:c>
      <x:c r="D158" s="4" t="str">
        <x:v>BraTS-GLI-02389</x:v>
      </x:c>
      <x:c r="E158" s="4" t="str">
        <x:v>dualid:UCSD-PTGBM-0134</x:v>
      </x:c>
      <x:c r="F158" s="6" t="n">
        <x:v>0</x:v>
      </x:c>
      <x:c r="G158" s="4" t="str">
        <x:v>explicit_negative_case_list</x:v>
      </x:c>
      <x:c r="H158" s="6" t="n">
        <x:v>45</x:v>
      </x:c>
      <x:c r="I158" s="6" t="n">
        <x:v>0</x:v>
      </x:c>
      <x:c r="J158" s="6" t="n">
        <x:v>0</x:v>
      </x:c>
      <x:c r="K158" s="6" t="n">
        <x:v>-358</x:v>
      </x:c>
      <x:c r="L158" s="6" t="n">
        <x:v>358</x:v>
      </x:c>
      <x:c r="M158" s="6" t="n">
        <x:v>5.8833223885</x:v>
      </x:c>
      <x:c r="N158" s="6" t="n">
        <x:v>0</x:v>
      </x:c>
      <x:c r="O158" s="4" t="str">
        <x:v>Oligoastrocytoma</x:v>
      </x:c>
      <x:c r="P158" s="6" t="n">
        <x:v>3</x:v>
      </x:c>
      <x:c r="Q158" s="8" t="n">
        <x:v>0.6517820456</x:v>
      </x:c>
      <x:c r="R158" s="6" t="n">
        <x:v>1</x:v>
      </x:c>
      <x:c r="S158" s="8" t="n">
        <x:v>0.5735496565</x:v>
      </x:c>
      <x:c r="T158" s="6" t="n">
        <x:v>1</x:v>
      </x:c>
      <x:c r="U158" s="8" t="n">
        <x:v>0.7548387097</x:v>
      </x:c>
      <x:c r="V158" s="6" t="n">
        <x:v>1</x:v>
      </x:c>
    </x:row>
    <x:row r="159" ht="28" customHeight="1">
      <x:c r="A159" s="4" t="str">
        <x:v>UCSD-PTGBM-0135_01</x:v>
      </x:c>
      <x:c r="B159" s="4" t="str">
        <x:v>UCSD-PTGBM-0135</x:v>
      </x:c>
      <x:c r="C159" s="4" t="str">
        <x:v>BraTS-GLI-02390-100</x:v>
      </x:c>
      <x:c r="D159" s="4" t="str">
        <x:v>BraTS-GLI-02390</x:v>
      </x:c>
      <x:c r="E159" s="4" t="str">
        <x:v>dualid:UCSD-PTGBM-0135</x:v>
      </x:c>
      <x:c r="F159" s="6" t="n">
        <x:v>1</x:v>
      </x:c>
      <x:c r="G159" s="4" t="str">
        <x:v>derived_from_published_243_equals_192_plus_51_partition</x:v>
      </x:c>
      <x:c r="H159" s="6" t="n">
        <x:v>39</x:v>
      </x:c>
      <x:c r="I159" s="6" t="n">
        <x:v>1</x:v>
      </x:c>
      <x:c r="J159" s="6" t="n">
        <x:v>0</x:v>
      </x:c>
      <x:c r="K159" s="6" t="n">
        <x:v>-281</x:v>
      </x:c>
      <x:c r="L159" s="6" t="n">
        <x:v>281</x:v>
      </x:c>
      <x:c r="M159" s="6" t="n">
        <x:v>5.6419070709</x:v>
      </x:c>
      <x:c r="N159" s="6" t="n">
        <x:v>0</x:v>
      </x:c>
      <x:c r="O159" s="4" t="str">
        <x:v>Glioblastoma</x:v>
      </x:c>
      <x:c r="P159" s="6" t="n">
        <x:v>2</x:v>
      </x:c>
      <x:c r="Q159" s="8" t="n">
        <x:v>0.7295215222</x:v>
      </x:c>
      <x:c r="R159" s="6" t="n">
        <x:v>1</x:v>
      </x:c>
      <x:c r="S159" s="8" t="n">
        <x:v>0.6750114703</x:v>
      </x:c>
      <x:c r="T159" s="6" t="n">
        <x:v>1</x:v>
      </x:c>
      <x:c r="U159" s="8" t="n">
        <x:v>0.7581699346</x:v>
      </x:c>
      <x:c r="V159" s="6" t="n">
        <x:v>1</x:v>
      </x:c>
    </x:row>
    <x:row r="160" ht="28" customHeight="1">
      <x:c r="A160" s="4" t="str">
        <x:v>UCSD-PTGBM-0135_02</x:v>
      </x:c>
      <x:c r="B160" s="4" t="str">
        <x:v>UCSD-PTGBM-0135</x:v>
      </x:c>
      <x:c r="C160" s="4" t="str">
        <x:v>BraTS-GLI-02390-101</x:v>
      </x:c>
      <x:c r="D160" s="4" t="str">
        <x:v>BraTS-GLI-02390</x:v>
      </x:c>
      <x:c r="E160" s="4" t="str">
        <x:v>dualid:UCSD-PTGBM-0135</x:v>
      </x:c>
      <x:c r="F160" s="6" t="n">
        <x:v>0</x:v>
      </x:c>
      <x:c r="G160" s="4" t="str">
        <x:v>explicit_negative_case_list</x:v>
      </x:c>
      <x:c r="H160" s="6" t="n">
        <x:v>39</x:v>
      </x:c>
      <x:c r="I160" s="6" t="n">
        <x:v>1</x:v>
      </x:c>
      <x:c r="J160" s="6" t="n">
        <x:v>0</x:v>
      </x:c>
      <x:c r="K160" s="6" t="n">
        <x:v>-463</x:v>
      </x:c>
      <x:c r="L160" s="6" t="n">
        <x:v>463</x:v>
      </x:c>
      <x:c r="M160" s="6" t="n">
        <x:v>6.1398845522</x:v>
      </x:c>
      <x:c r="N160" s="6" t="n">
        <x:v>0</x:v>
      </x:c>
      <x:c r="O160" s="4" t="str">
        <x:v>Glioblastoma</x:v>
      </x:c>
      <x:c r="P160" s="6" t="n">
        <x:v>2</x:v>
      </x:c>
      <x:c r="Q160" s="8" t="n">
        <x:v>0.7295215222</x:v>
      </x:c>
      <x:c r="R160" s="6" t="n">
        <x:v>1</x:v>
      </x:c>
      <x:c r="S160" s="8" t="n">
        <x:v>0.6416521832</x:v>
      </x:c>
      <x:c r="T160" s="6" t="n">
        <x:v>1</x:v>
      </x:c>
      <x:c r="U160" s="8" t="n">
        <x:v>0.7581699346</x:v>
      </x:c>
      <x:c r="V160" s="6" t="n">
        <x:v>1</x:v>
      </x:c>
    </x:row>
    <x:row r="161" ht="28" customHeight="1">
      <x:c r="A161" s="4" t="str">
        <x:v>UCSD-PTGBM-0135_03</x:v>
      </x:c>
      <x:c r="B161" s="4" t="str">
        <x:v>UCSD-PTGBM-0135</x:v>
      </x:c>
      <x:c r="C161" s="4" t="str">
        <x:v>BraTS-GLI-02390-102</x:v>
      </x:c>
      <x:c r="D161" s="4" t="str">
        <x:v>BraTS-GLI-02390</x:v>
      </x:c>
      <x:c r="E161" s="4" t="str">
        <x:v>dualid:UCSD-PTGBM-0135</x:v>
      </x:c>
      <x:c r="F161" s="6" t="n">
        <x:v>0</x:v>
      </x:c>
      <x:c r="G161" s="4" t="str">
        <x:v>explicit_negative_case_list</x:v>
      </x:c>
      <x:c r="H161" s="6" t="n">
        <x:v>39</x:v>
      </x:c>
      <x:c r="I161" s="6" t="n">
        <x:v>1</x:v>
      </x:c>
      <x:c r="J161" s="6" t="n">
        <x:v>0</x:v>
      </x:c>
      <x:c r="K161" s="6" t="n">
        <x:v>-841</x:v>
      </x:c>
      <x:c r="L161" s="6" t="n">
        <x:v>841</x:v>
      </x:c>
      <x:c r="M161" s="6" t="n">
        <x:v>6.7357800142</x:v>
      </x:c>
      <x:c r="N161" s="6" t="n">
        <x:v>0</x:v>
      </x:c>
      <x:c r="O161" s="4" t="str">
        <x:v>Glioblastoma</x:v>
      </x:c>
      <x:c r="P161" s="6" t="n">
        <x:v>2</x:v>
      </x:c>
      <x:c r="Q161" s="8" t="n">
        <x:v>0.7295215222</x:v>
      </x:c>
      <x:c r="R161" s="6" t="n">
        <x:v>1</x:v>
      </x:c>
      <x:c r="S161" s="8" t="n">
        <x:v>0.5998800259</x:v>
      </x:c>
      <x:c r="T161" s="6" t="n">
        <x:v>1</x:v>
      </x:c>
      <x:c r="U161" s="8" t="n">
        <x:v>0.7581699346</x:v>
      </x:c>
      <x:c r="V161" s="6" t="n">
        <x:v>1</x:v>
      </x:c>
    </x:row>
    <x:row r="162" ht="28" customHeight="1">
      <x:c r="A162" s="4" t="str">
        <x:v>UCSD-PTGBM-0136_01</x:v>
      </x:c>
      <x:c r="B162" s="4" t="str">
        <x:v>UCSD-PTGBM-0136</x:v>
      </x:c>
      <x:c r="C162" s="4" t="str">
        <x:v>BraTS-GLI-02391-100</x:v>
      </x:c>
      <x:c r="D162" s="4" t="str">
        <x:v>BraTS-GLI-02391</x:v>
      </x:c>
      <x:c r="E162" s="4" t="str">
        <x:v>dualid:UCSD-PTGBM-0136</x:v>
      </x:c>
      <x:c r="F162" s="6" t="n">
        <x:v>1</x:v>
      </x:c>
      <x:c r="G162" s="4" t="str">
        <x:v>derived_from_published_243_equals_192_plus_51_partition</x:v>
      </x:c>
      <x:c r="H162" s="6" t="n">
        <x:v>49</x:v>
      </x:c>
      <x:c r="I162" s="6" t="n">
        <x:v>1</x:v>
      </x:c>
      <x:c r="J162" s="6" t="n">
        <x:v>0</x:v>
      </x:c>
      <x:c r="K162" s="6" t="n">
        <x:v>-27</x:v>
      </x:c>
      <x:c r="L162" s="6" t="n">
        <x:v>27</x:v>
      </x:c>
      <x:c r="M162" s="6" t="n">
        <x:v>3.3322045102</x:v>
      </x:c>
      <x:c r="N162" s="6" t="n">
        <x:v>0</x:v>
      </x:c>
      <x:c r="O162" s="4" t="str">
        <x:v>Glioblastoma</x:v>
      </x:c>
      <x:c r="P162" s="6" t="n">
        <x:v>1</x:v>
      </x:c>
      <x:c r="Q162" s="8" t="n">
        <x:v>0.7355984083</x:v>
      </x:c>
      <x:c r="R162" s="6" t="n">
        <x:v>1</x:v>
      </x:c>
      <x:c r="S162" s="8" t="n">
        <x:v>0.849778375</x:v>
      </x:c>
      <x:c r="T162" s="6" t="n">
        <x:v>1</x:v>
      </x:c>
      <x:c r="U162" s="8" t="n">
        <x:v>0.7597402597</x:v>
      </x:c>
      <x:c r="V162" s="6" t="n">
        <x:v>1</x:v>
      </x:c>
    </x:row>
    <x:row r="163" ht="28" customHeight="1">
      <x:c r="A163" s="4" t="str">
        <x:v>UCSD-PTGBM-0137_02</x:v>
      </x:c>
      <x:c r="B163" s="4" t="str">
        <x:v>UCSD-PTGBM-0137</x:v>
      </x:c>
      <x:c r="C163" s="4" t="str">
        <x:v>BraTS-GLI-02392-101</x:v>
      </x:c>
      <x:c r="D163" s="4" t="str">
        <x:v>BraTS-GLI-02392</x:v>
      </x:c>
      <x:c r="E163" s="4" t="str">
        <x:v>dualid:UCSD-PTGBM-0137</x:v>
      </x:c>
      <x:c r="F163" s="6" t="n">
        <x:v>1</x:v>
      </x:c>
      <x:c r="G163" s="4" t="str">
        <x:v>derived_from_published_243_equals_192_plus_51_partition</x:v>
      </x:c>
      <x:c r="H163" s="6" t="n">
        <x:v>62</x:v>
      </x:c>
      <x:c r="I163" s="6" t="n">
        <x:v>1</x:v>
      </x:c>
      <x:c r="J163" s="6" t="n">
        <x:v>0</x:v>
      </x:c>
      <x:c r="K163" s="6" t="n">
        <x:v>-163</x:v>
      </x:c>
      <x:c r="L163" s="6" t="n">
        <x:v>163</x:v>
      </x:c>
      <x:c r="M163" s="6" t="n">
        <x:v>5.0998664278</x:v>
      </x:c>
      <x:c r="N163" s="6" t="n">
        <x:v>0</x:v>
      </x:c>
      <x:c r="O163" s="4" t="str">
        <x:v>Glioblastoma</x:v>
      </x:c>
      <x:c r="P163" s="6" t="n">
        <x:v>3</x:v>
      </x:c>
      <x:c r="Q163" s="8" t="n">
        <x:v>0.8117572268</x:v>
      </x:c>
      <x:c r="R163" s="6" t="n">
        <x:v>1</x:v>
      </x:c>
      <x:c r="S163" s="8" t="n">
        <x:v>0.7506471218</x:v>
      </x:c>
      <x:c r="T163" s="6" t="n">
        <x:v>1</x:v>
      </x:c>
      <x:c r="U163" s="8" t="n">
        <x:v>0.7548387097</x:v>
      </x:c>
      <x:c r="V163" s="6" t="n">
        <x:v>1</x:v>
      </x:c>
    </x:row>
    <x:row r="164" ht="28" customHeight="1">
      <x:c r="A164" s="4" t="str">
        <x:v>UCSD-PTGBM-0138_01</x:v>
      </x:c>
      <x:c r="B164" s="4" t="str">
        <x:v>UCSD-PTGBM-0138</x:v>
      </x:c>
      <x:c r="C164" s="4" t="str">
        <x:v>BraTS-GLI-02393-100</x:v>
      </x:c>
      <x:c r="D164" s="4" t="str">
        <x:v>BraTS-GLI-02393</x:v>
      </x:c>
      <x:c r="E164" s="4" t="str">
        <x:v>dualid:UCSD-PTGBM-0138</x:v>
      </x:c>
      <x:c r="F164" s="6" t="n">
        <x:v>1</x:v>
      </x:c>
      <x:c r="G164" s="4" t="str">
        <x:v>derived_from_published_243_equals_192_plus_51_partition</x:v>
      </x:c>
      <x:c r="H164" s="6" t="n">
        <x:v>68</x:v>
      </x:c>
      <x:c r="I164" s="6" t="n">
        <x:v>0</x:v>
      </x:c>
      <x:c r="J164" s="6" t="n">
        <x:v>0</x:v>
      </x:c>
      <x:c r="K164" s="6" t="n">
        <x:v>-24</x:v>
      </x:c>
      <x:c r="L164" s="6" t="n">
        <x:v>24</x:v>
      </x:c>
      <x:c r="M164" s="6" t="n">
        <x:v>3.2188758249</x:v>
      </x:c>
      <x:c r="N164" s="6" t="n">
        <x:v>0</x:v>
      </x:c>
      <x:c r="O164" s="4" t="str">
        <x:v>Glioblastoma</x:v>
      </x:c>
      <x:c r="P164" s="6" t="n">
        <x:v>4</x:v>
      </x:c>
      <x:c r="Q164" s="8" t="n">
        <x:v>0.7873303932</x:v>
      </x:c>
      <x:c r="R164" s="6" t="n">
        <x:v>1</x:v>
      </x:c>
      <x:c r="S164" s="8" t="n">
        <x:v>0.9076334354</x:v>
      </x:c>
      <x:c r="T164" s="6" t="n">
        <x:v>1</x:v>
      </x:c>
      <x:c r="U164" s="8" t="n">
        <x:v>0.7516339869</x:v>
      </x:c>
      <x:c r="V164" s="6" t="n">
        <x:v>1</x:v>
      </x:c>
    </x:row>
    <x:row r="165" ht="28" customHeight="1">
      <x:c r="A165" s="4" t="str">
        <x:v>UCSD-PTGBM-0139_01</x:v>
      </x:c>
      <x:c r="B165" s="4" t="str">
        <x:v>UCSD-PTGBM-0139</x:v>
      </x:c>
      <x:c r="C165" s="4" t="str">
        <x:v>BraTS-GLI-02394-100</x:v>
      </x:c>
      <x:c r="D165" s="4" t="str">
        <x:v>BraTS-GLI-02394</x:v>
      </x:c>
      <x:c r="E165" s="4" t="str">
        <x:v>dualid:UCSD-PTGBM-0139</x:v>
      </x:c>
      <x:c r="F165" s="6" t="n">
        <x:v>1</x:v>
      </x:c>
      <x:c r="G165" s="4" t="str">
        <x:v>derived_from_published_243_equals_192_plus_51_partition</x:v>
      </x:c>
      <x:c r="H165" s="6" t="n">
        <x:v>69</x:v>
      </x:c>
      <x:c r="I165" s="6" t="n">
        <x:v>1</x:v>
      </x:c>
      <x:c r="J165" s="6" t="n">
        <x:v>1</x:v>
      </x:c>
      <x:c r="K165" s="6" t="n">
        <x:v>-365</x:v>
      </x:c>
      <x:c r="L165" s="6" t="n">
        <x:v>365</x:v>
      </x:c>
      <x:c r="M165" s="6" t="n">
        <x:v>5.9026333334</x:v>
      </x:c>
      <x:c r="N165" s="6" t="n">
        <x:v>0</x:v>
      </x:c>
      <x:c r="O165" s="4" t="str">
        <x:v>Glioblastoma</x:v>
      </x:c>
      <x:c r="P165" s="6" t="n">
        <x:v>4</x:v>
      </x:c>
      <x:c r="Q165" s="8" t="n">
        <x:v>0.829622408</x:v>
      </x:c>
      <x:c r="R165" s="6" t="n">
        <x:v>1</x:v>
      </x:c>
      <x:c r="S165" s="8" t="n">
        <x:v>0.7473148555</x:v>
      </x:c>
      <x:c r="T165" s="6" t="n">
        <x:v>1</x:v>
      </x:c>
      <x:c r="U165" s="8" t="n">
        <x:v>0.7516339869</x:v>
      </x:c>
      <x:c r="V165" s="6" t="n">
        <x:v>1</x:v>
      </x:c>
    </x:row>
    <x:row r="166" ht="28" customHeight="1">
      <x:c r="A166" s="4" t="str">
        <x:v>UCSD-PTGBM-0140_01</x:v>
      </x:c>
      <x:c r="B166" s="4" t="str">
        <x:v>UCSD-PTGBM-0140</x:v>
      </x:c>
      <x:c r="C166" s="4" t="str">
        <x:v>BraTS-GLI-02395-100</x:v>
      </x:c>
      <x:c r="D166" s="4" t="str">
        <x:v>BraTS-GLI-02395</x:v>
      </x:c>
      <x:c r="E166" s="4" t="str">
        <x:v>dualid:UCSD-PTGBM-0140</x:v>
      </x:c>
      <x:c r="F166" s="6" t="n">
        <x:v>1</x:v>
      </x:c>
      <x:c r="G166" s="4" t="str">
        <x:v>derived_from_published_243_equals_192_plus_51_partition</x:v>
      </x:c>
      <x:c r="H166" s="6" t="n">
        <x:v>22</x:v>
      </x:c>
      <x:c r="I166" s="6" t="n">
        <x:v>1</x:v>
      </x:c>
      <x:c r="J166" s="6" t="n">
        <x:v>0</x:v>
      </x:c>
      <x:c r="K166" s="6" t="n">
        <x:v>-552</x:v>
      </x:c>
      <x:c r="L166" s="6" t="n">
        <x:v>552</x:v>
      </x:c>
      <x:c r="M166" s="6" t="n">
        <x:v>6.3153580015</x:v>
      </x:c>
      <x:c r="N166" s="6" t="n">
        <x:v>0</x:v>
      </x:c>
      <x:c r="O166" s="4" t="str">
        <x:v>Glioblastoma</x:v>
      </x:c>
      <x:c r="P166" s="6" t="n">
        <x:v>2</x:v>
      </x:c>
      <x:c r="Q166" s="8" t="n">
        <x:v>0.6499804329</x:v>
      </x:c>
      <x:c r="R166" s="6" t="n">
        <x:v>1</x:v>
      </x:c>
      <x:c r="S166" s="8" t="n">
        <x:v>0.5636678612</x:v>
      </x:c>
      <x:c r="T166" s="6" t="n">
        <x:v>1</x:v>
      </x:c>
      <x:c r="U166" s="8" t="n">
        <x:v>0.7581699346</x:v>
      </x:c>
      <x:c r="V166" s="6" t="n">
        <x:v>1</x:v>
      </x:c>
    </x:row>
    <x:row r="167" ht="28" customHeight="1">
      <x:c r="A167" s="4" t="str">
        <x:v>UCSD-PTGBM-0140_02</x:v>
      </x:c>
      <x:c r="B167" s="4" t="str">
        <x:v>UCSD-PTGBM-0140</x:v>
      </x:c>
      <x:c r="C167" s="4" t="str">
        <x:v>BraTS-GLI-02395-101</x:v>
      </x:c>
      <x:c r="D167" s="4" t="str">
        <x:v>BraTS-GLI-02395</x:v>
      </x:c>
      <x:c r="E167" s="4" t="str">
        <x:v>dualid:UCSD-PTGBM-0140</x:v>
      </x:c>
      <x:c r="F167" s="6" t="n">
        <x:v>0</x:v>
      </x:c>
      <x:c r="G167" s="4" t="str">
        <x:v>explicit_negative_case_list</x:v>
      </x:c>
      <x:c r="H167" s="6" t="n">
        <x:v>22</x:v>
      </x:c>
      <x:c r="I167" s="6" t="n">
        <x:v>1</x:v>
      </x:c>
      <x:c r="J167" s="6" t="n">
        <x:v>0</x:v>
      </x:c>
      <x:c r="K167" s="6" t="n">
        <x:v>-979</x:v>
      </x:c>
      <x:c r="L167" s="6" t="n">
        <x:v>979</x:v>
      </x:c>
      <x:c r="M167" s="6" t="n">
        <x:v>6.8875525717</x:v>
      </x:c>
      <x:c r="N167" s="6" t="n">
        <x:v>0</x:v>
      </x:c>
      <x:c r="O167" s="4" t="str">
        <x:v>Glioblastoma</x:v>
      </x:c>
      <x:c r="P167" s="6" t="n">
        <x:v>2</x:v>
      </x:c>
      <x:c r="Q167" s="8" t="n">
        <x:v>0.6499804329</x:v>
      </x:c>
      <x:c r="R167" s="6" t="n">
        <x:v>1</x:v>
      </x:c>
      <x:c r="S167" s="8" t="n">
        <x:v>0.5213737765</x:v>
      </x:c>
      <x:c r="T167" s="6" t="n">
        <x:v>1</x:v>
      </x:c>
      <x:c r="U167" s="8" t="n">
        <x:v>0.7581699346</x:v>
      </x:c>
      <x:c r="V167" s="6" t="n">
        <x:v>1</x:v>
      </x:c>
    </x:row>
    <x:row r="168" ht="28" customHeight="1">
      <x:c r="A168" s="4" t="str">
        <x:v>UCSD-PTGBM-0141_01</x:v>
      </x:c>
      <x:c r="B168" s="4" t="str">
        <x:v>UCSD-PTGBM-0141</x:v>
      </x:c>
      <x:c r="C168" s="4" t="str">
        <x:v>BraTS-GLI-02396-100</x:v>
      </x:c>
      <x:c r="D168" s="4" t="str">
        <x:v>BraTS-GLI-02396</x:v>
      </x:c>
      <x:c r="E168" s="4" t="str">
        <x:v>dualid:UCSD-PTGBM-0141</x:v>
      </x:c>
      <x:c r="F168" s="6" t="n">
        <x:v>1</x:v>
      </x:c>
      <x:c r="G168" s="4" t="str">
        <x:v>derived_from_published_243_equals_192_plus_51_partition</x:v>
      </x:c>
      <x:c r="H168" s="6" t="n">
        <x:v>36</x:v>
      </x:c>
      <x:c r="I168" s="6" t="n">
        <x:v>1</x:v>
      </x:c>
      <x:c r="J168" s="6" t="n">
        <x:v>0</x:v>
      </x:c>
      <x:c r="K168" s="6" t="n">
        <x:v>-22</x:v>
      </x:c>
      <x:c r="L168" s="6" t="n">
        <x:v>22</x:v>
      </x:c>
      <x:c r="M168" s="6" t="n">
        <x:v>3.1354942159</x:v>
      </x:c>
      <x:c r="N168" s="6" t="n">
        <x:v>0</x:v>
      </x:c>
      <x:c r="O168" s="4" t="str">
        <x:v>Glioblastoma</x:v>
      </x:c>
      <x:c r="P168" s="6" t="n">
        <x:v>2</x:v>
      </x:c>
      <x:c r="Q168" s="8" t="n">
        <x:v>0.7163301096</x:v>
      </x:c>
      <x:c r="R168" s="6" t="n">
        <x:v>1</x:v>
      </x:c>
      <x:c r="S168" s="8" t="n">
        <x:v>0.8068179991</x:v>
      </x:c>
      <x:c r="T168" s="6" t="n">
        <x:v>1</x:v>
      </x:c>
      <x:c r="U168" s="8" t="n">
        <x:v>0.7581699346</x:v>
      </x:c>
      <x:c r="V168" s="6" t="n">
        <x:v>1</x:v>
      </x:c>
    </x:row>
    <x:row r="169" ht="28" customHeight="1">
      <x:c r="A169" s="4" t="str">
        <x:v>UCSD-PTGBM-0144_01</x:v>
      </x:c>
      <x:c r="B169" s="4" t="str">
        <x:v>UCSD-PTGBM-0144</x:v>
      </x:c>
      <x:c r="C169" s="4" t="str">
        <x:v>BraTS-GLI-02399-100</x:v>
      </x:c>
      <x:c r="D169" s="4" t="str">
        <x:v>BraTS-GLI-02399</x:v>
      </x:c>
      <x:c r="E169" s="4" t="str">
        <x:v>dualid:UCSD-PTGBM-0144</x:v>
      </x:c>
      <x:c r="F169" s="6" t="n">
        <x:v>1</x:v>
      </x:c>
      <x:c r="G169" s="4" t="str">
        <x:v>derived_from_published_243_equals_192_plus_51_partition</x:v>
      </x:c>
      <x:c r="H169" s="6" t="n">
        <x:v>45</x:v>
      </x:c>
      <x:c r="I169" s="6" t="n">
        <x:v>1</x:v>
      </x:c>
      <x:c r="J169" s="6" t="n">
        <x:v>0</x:v>
      </x:c>
      <x:c r="K169" s="6" t="n">
        <x:v>-16</x:v>
      </x:c>
      <x:c r="L169" s="6" t="n">
        <x:v>16</x:v>
      </x:c>
      <x:c r="M169" s="6" t="n">
        <x:v>2.8332133441</x:v>
      </x:c>
      <x:c r="N169" s="6" t="n">
        <x:v>0</x:v>
      </x:c>
      <x:c r="O169" s="4" t="str">
        <x:v>Glioblastoma</x:v>
      </x:c>
      <x:c r="P169" s="6" t="n">
        <x:v>3</x:v>
      </x:c>
      <x:c r="Q169" s="8" t="n">
        <x:v>0.7271508672</x:v>
      </x:c>
      <x:c r="R169" s="6" t="n">
        <x:v>1</x:v>
      </x:c>
      <x:c r="S169" s="8" t="n">
        <x:v>0.9143553516</x:v>
      </x:c>
      <x:c r="T169" s="6" t="n">
        <x:v>1</x:v>
      </x:c>
      <x:c r="U169" s="8" t="n">
        <x:v>0.7548387097</x:v>
      </x:c>
      <x:c r="V169" s="6" t="n">
        <x:v>1</x:v>
      </x:c>
    </x:row>
    <x:row r="170" ht="28" customHeight="1">
      <x:c r="A170" s="4" t="str">
        <x:v>UCSD-PTGBM-0144_02</x:v>
      </x:c>
      <x:c r="B170" s="4" t="str">
        <x:v>UCSD-PTGBM-0144</x:v>
      </x:c>
      <x:c r="C170" s="4" t="str">
        <x:v>BraTS-GLI-02399-101</x:v>
      </x:c>
      <x:c r="D170" s="4" t="str">
        <x:v>BraTS-GLI-02399</x:v>
      </x:c>
      <x:c r="E170" s="4" t="str">
        <x:v>dualid:UCSD-PTGBM-0144</x:v>
      </x:c>
      <x:c r="F170" s="6" t="n">
        <x:v>1</x:v>
      </x:c>
      <x:c r="G170" s="4" t="str">
        <x:v>derived_from_published_243_equals_192_plus_51_partition</x:v>
      </x:c>
      <x:c r="H170" s="6" t="n">
        <x:v>45</x:v>
      </x:c>
      <x:c r="I170" s="6" t="n">
        <x:v>1</x:v>
      </x:c>
      <x:c r="J170" s="6" t="n">
        <x:v>1</x:v>
      </x:c>
      <x:c r="K170" s="6" t="n">
        <x:v>-440</x:v>
      </x:c>
      <x:c r="L170" s="6" t="n">
        <x:v>440</x:v>
      </x:c>
      <x:c r="M170" s="6" t="n">
        <x:v>6.0890448754</x:v>
      </x:c>
      <x:c r="N170" s="6" t="n">
        <x:v>0</x:v>
      </x:c>
      <x:c r="O170" s="4" t="str">
        <x:v>Glioblastoma</x:v>
      </x:c>
      <x:c r="P170" s="6" t="n">
        <x:v>3</x:v>
      </x:c>
      <x:c r="Q170" s="8" t="n">
        <x:v>0.7271508672</x:v>
      </x:c>
      <x:c r="R170" s="6" t="n">
        <x:v>1</x:v>
      </x:c>
      <x:c r="S170" s="8" t="n">
        <x:v>0.7544667732</x:v>
      </x:c>
      <x:c r="T170" s="6" t="n">
        <x:v>1</x:v>
      </x:c>
      <x:c r="U170" s="8" t="n">
        <x:v>0.7548387097</x:v>
      </x:c>
      <x:c r="V170" s="6" t="n">
        <x:v>1</x:v>
      </x:c>
    </x:row>
    <x:row r="171" ht="28" customHeight="1">
      <x:c r="A171" s="4" t="str">
        <x:v>UCSD-PTGBM-0145_01</x:v>
      </x:c>
      <x:c r="B171" s="4" t="str">
        <x:v>UCSD-PTGBM-0145</x:v>
      </x:c>
      <x:c r="C171" s="4" t="str">
        <x:v>BraTS-GLI-02400-100</x:v>
      </x:c>
      <x:c r="D171" s="4" t="str">
        <x:v>BraTS-GLI-02400</x:v>
      </x:c>
      <x:c r="E171" s="4" t="str">
        <x:v>dualid:UCSD-PTGBM-0145</x:v>
      </x:c>
      <x:c r="F171" s="6" t="n">
        <x:v>1</x:v>
      </x:c>
      <x:c r="G171" s="4" t="str">
        <x:v>derived_from_published_243_equals_192_plus_51_partition</x:v>
      </x:c>
      <x:c r="H171" s="6" t="n">
        <x:v>51</x:v>
      </x:c>
      <x:c r="I171" s="6" t="n">
        <x:v>1</x:v>
      </x:c>
      <x:c r="J171" s="6" t="n">
        <x:v>0</x:v>
      </x:c>
      <x:c r="K171" s="6" t="n">
        <x:v>-70</x:v>
      </x:c>
      <x:c r="L171" s="6" t="n">
        <x:v>70</x:v>
      </x:c>
      <x:c r="M171" s="6" t="n">
        <x:v>4.262679877</x:v>
      </x:c>
      <x:c r="N171" s="6" t="n">
        <x:v>0</x:v>
      </x:c>
      <x:c r="O171" s="4" t="str">
        <x:v>Glioblastoma</x:v>
      </x:c>
      <x:c r="P171" s="6" t="n">
        <x:v>2</x:v>
      </x:c>
      <x:c r="Q171" s="8" t="n">
        <x:v>0.778278456</x:v>
      </x:c>
      <x:c r="R171" s="6" t="n">
        <x:v>1</x:v>
      </x:c>
      <x:c r="S171" s="8" t="n">
        <x:v>0.7917482368</x:v>
      </x:c>
      <x:c r="T171" s="6" t="n">
        <x:v>1</x:v>
      </x:c>
      <x:c r="U171" s="8" t="n">
        <x:v>0.7581699346</x:v>
      </x:c>
      <x:c r="V171" s="6" t="n">
        <x:v>1</x:v>
      </x:c>
    </x:row>
    <x:row r="172" ht="28" customHeight="1">
      <x:c r="A172" s="4" t="str">
        <x:v>UCSD-PTGBM-0145_02</x:v>
      </x:c>
      <x:c r="B172" s="4" t="str">
        <x:v>UCSD-PTGBM-0145</x:v>
      </x:c>
      <x:c r="C172" s="4" t="str">
        <x:v>BraTS-GLI-02400-101</x:v>
      </x:c>
      <x:c r="D172" s="4" t="str">
        <x:v>BraTS-GLI-02400</x:v>
      </x:c>
      <x:c r="E172" s="4" t="str">
        <x:v>dualid:UCSD-PTGBM-0145</x:v>
      </x:c>
      <x:c r="F172" s="6" t="n">
        <x:v>1</x:v>
      </x:c>
      <x:c r="G172" s="4" t="str">
        <x:v>derived_from_published_243_equals_192_plus_51_partition</x:v>
      </x:c>
      <x:c r="H172" s="6" t="n">
        <x:v>51</x:v>
      </x:c>
      <x:c r="I172" s="6" t="n">
        <x:v>1</x:v>
      </x:c>
      <x:c r="J172" s="6" t="n">
        <x:v>1</x:v>
      </x:c>
      <x:c r="K172" s="6" t="n">
        <x:v>-240</x:v>
      </x:c>
      <x:c r="L172" s="6" t="n">
        <x:v>240</x:v>
      </x:c>
      <x:c r="M172" s="6" t="n">
        <x:v>5.4847969335</x:v>
      </x:c>
      <x:c r="N172" s="6" t="n">
        <x:v>0</x:v>
      </x:c>
      <x:c r="O172" s="4" t="str">
        <x:v>Glioblastoma</x:v>
      </x:c>
      <x:c r="P172" s="6" t="n">
        <x:v>2</x:v>
      </x:c>
      <x:c r="Q172" s="8" t="n">
        <x:v>0.778278456</x:v>
      </x:c>
      <x:c r="R172" s="6" t="n">
        <x:v>1</x:v>
      </x:c>
      <x:c r="S172" s="8" t="n">
        <x:v>0.8487077692</x:v>
      </x:c>
      <x:c r="T172" s="6" t="n">
        <x:v>1</x:v>
      </x:c>
      <x:c r="U172" s="8" t="n">
        <x:v>0.7581699346</x:v>
      </x:c>
      <x:c r="V172" s="6" t="n">
        <x:v>1</x:v>
      </x:c>
    </x:row>
    <x:row r="173" ht="28" customHeight="1">
      <x:c r="A173" s="4" t="str">
        <x:v>UCSD-PTGBM-0146_01</x:v>
      </x:c>
      <x:c r="B173" s="4" t="str">
        <x:v>UCSD-PTGBM-0146</x:v>
      </x:c>
      <x:c r="C173" s="4" t="str">
        <x:v>BraTS-GLI-02401-100</x:v>
      </x:c>
      <x:c r="D173" s="4" t="str">
        <x:v>BraTS-GLI-02401</x:v>
      </x:c>
      <x:c r="E173" s="4" t="str">
        <x:v>dualid:UCSD-PTGBM-0146</x:v>
      </x:c>
      <x:c r="F173" s="6" t="n">
        <x:v>1</x:v>
      </x:c>
      <x:c r="G173" s="4" t="str">
        <x:v>derived_from_published_243_equals_192_plus_51_partition</x:v>
      </x:c>
      <x:c r="H173" s="6" t="n">
        <x:v>51</x:v>
      </x:c>
      <x:c r="I173" s="6" t="n">
        <x:v>1</x:v>
      </x:c>
      <x:c r="J173" s="6" t="n">
        <x:v>0</x:v>
      </x:c>
      <x:c r="K173" s="6" t="n">
        <x:v>-28</x:v>
      </x:c>
      <x:c r="L173" s="6" t="n">
        <x:v>28</x:v>
      </x:c>
      <x:c r="M173" s="6" t="n">
        <x:v>3.36729583</x:v>
      </x:c>
      <x:c r="N173" s="6" t="n">
        <x:v>0</x:v>
      </x:c>
      <x:c r="O173" s="4" t="str">
        <x:v>Glioblastoma</x:v>
      </x:c>
      <x:c r="P173" s="6" t="n">
        <x:v>3</x:v>
      </x:c>
      <x:c r="Q173" s="8" t="n">
        <x:v>0.7595235692</x:v>
      </x:c>
      <x:c r="R173" s="6" t="n">
        <x:v>1</x:v>
      </x:c>
      <x:c r="S173" s="8" t="n">
        <x:v>0.8895792289</x:v>
      </x:c>
      <x:c r="T173" s="6" t="n">
        <x:v>1</x:v>
      </x:c>
      <x:c r="U173" s="8" t="n">
        <x:v>0.7548387097</x:v>
      </x:c>
      <x:c r="V173" s="6" t="n">
        <x:v>1</x:v>
      </x:c>
    </x:row>
    <x:row r="174" ht="28" customHeight="1">
      <x:c r="A174" s="4" t="str">
        <x:v>UCSD-PTGBM-0148_01</x:v>
      </x:c>
      <x:c r="B174" s="4" t="str">
        <x:v>UCSD-PTGBM-0148</x:v>
      </x:c>
      <x:c r="C174" s="4" t="str">
        <x:v>BraTS-GLI-02403-100</x:v>
      </x:c>
      <x:c r="D174" s="4" t="str">
        <x:v>BraTS-GLI-02403</x:v>
      </x:c>
      <x:c r="E174" s="4" t="str">
        <x:v>dualid:UCSD-PTGBM-0148</x:v>
      </x:c>
      <x:c r="F174" s="6" t="n">
        <x:v>1</x:v>
      </x:c>
      <x:c r="G174" s="4" t="str">
        <x:v>derived_from_published_243_equals_192_plus_51_partition</x:v>
      </x:c>
      <x:c r="H174" s="6" t="n">
        <x:v>72</x:v>
      </x:c>
      <x:c r="I174" s="6" t="n">
        <x:v>0</x:v>
      </x:c>
      <x:c r="J174" s="6" t="n">
        <x:v>0</x:v>
      </x:c>
      <x:c r="K174" s="6" t="n">
        <x:v>-374</x:v>
      </x:c>
      <x:c r="L174" s="6" t="n">
        <x:v>374</x:v>
      </x:c>
      <x:c r="M174" s="6" t="n">
        <x:v>5.926926026</x:v>
      </x:c>
      <x:c r="N174" s="6" t="n">
        <x:v>0</x:v>
      </x:c>
      <x:c r="O174" s="4" t="str">
        <x:v>Oligoastrocytoma</x:v>
      </x:c>
      <x:c r="P174" s="6" t="n">
        <x:v>4</x:v>
      </x:c>
      <x:c r="Q174" s="8" t="n">
        <x:v>0.8030903096</x:v>
      </x:c>
      <x:c r="R174" s="6" t="n">
        <x:v>1</x:v>
      </x:c>
      <x:c r="S174" s="8" t="n">
        <x:v>0.6881377678</x:v>
      </x:c>
      <x:c r="T174" s="6" t="n">
        <x:v>1</x:v>
      </x:c>
      <x:c r="U174" s="8" t="n">
        <x:v>0.7516339869</x:v>
      </x:c>
      <x:c r="V174" s="6" t="n">
        <x:v>1</x:v>
      </x:c>
    </x:row>
    <x:row r="175" ht="28" customHeight="1">
      <x:c r="A175" s="4" t="str">
        <x:v>UCSD-PTGBM-0149_01</x:v>
      </x:c>
      <x:c r="B175" s="4" t="str">
        <x:v>UCSD-PTGBM-0149</x:v>
      </x:c>
      <x:c r="C175" s="4" t="str">
        <x:v>BraTS-GLI-02404-100</x:v>
      </x:c>
      <x:c r="D175" s="4" t="str">
        <x:v>BraTS-GLI-02404</x:v>
      </x:c>
      <x:c r="E175" s="4" t="str">
        <x:v>dualid:UCSD-PTGBM-0149</x:v>
      </x:c>
      <x:c r="F175" s="6" t="n">
        <x:v>1</x:v>
      </x:c>
      <x:c r="G175" s="4" t="str">
        <x:v>derived_from_published_243_equals_192_plus_51_partition</x:v>
      </x:c>
      <x:c r="H175" s="6" t="n">
        <x:v>49</x:v>
      </x:c>
      <x:c r="I175" s="6" t="n">
        <x:v>0</x:v>
      </x:c>
      <x:c r="J175" s="6" t="n">
        <x:v>0</x:v>
      </x:c>
      <x:c r="K175" s="6" t="n">
        <x:v>-64</x:v>
      </x:c>
      <x:c r="L175" s="6" t="n">
        <x:v>64</x:v>
      </x:c>
      <x:c r="M175" s="6" t="n">
        <x:v>4.1743872699</x:v>
      </x:c>
      <x:c r="N175" s="6" t="n">
        <x:v>0</x:v>
      </x:c>
      <x:c r="O175" s="4" t="str">
        <x:v>Glioblastoma</x:v>
      </x:c>
      <x:c r="P175" s="6" t="n">
        <x:v>5</x:v>
      </x:c>
      <x:c r="Q175" s="8" t="n">
        <x:v>0.7279447108</x:v>
      </x:c>
      <x:c r="R175" s="6" t="n">
        <x:v>1</x:v>
      </x:c>
      <x:c r="S175" s="8" t="n">
        <x:v>0.8254010827</x:v>
      </x:c>
      <x:c r="T175" s="6" t="n">
        <x:v>1</x:v>
      </x:c>
      <x:c r="U175" s="8" t="n">
        <x:v>0.7516339869</x:v>
      </x:c>
      <x:c r="V175" s="6" t="n">
        <x:v>1</x:v>
      </x:c>
    </x:row>
    <x:row r="176" ht="28" customHeight="1">
      <x:c r="A176" s="4" t="str">
        <x:v>UCSD-PTGBM-0149_02</x:v>
      </x:c>
      <x:c r="B176" s="4" t="str">
        <x:v>UCSD-PTGBM-0149</x:v>
      </x:c>
      <x:c r="C176" s="4" t="str">
        <x:v>BraTS-GLI-02404-101</x:v>
      </x:c>
      <x:c r="D176" s="4" t="str">
        <x:v>BraTS-GLI-02404</x:v>
      </x:c>
      <x:c r="E176" s="4" t="str">
        <x:v>dualid:UCSD-PTGBM-0149</x:v>
      </x:c>
      <x:c r="F176" s="6" t="n">
        <x:v>1</x:v>
      </x:c>
      <x:c r="G176" s="4" t="str">
        <x:v>derived_from_published_243_equals_192_plus_51_partition</x:v>
      </x:c>
      <x:c r="H176" s="6" t="n">
        <x:v>49</x:v>
      </x:c>
      <x:c r="I176" s="6" t="n">
        <x:v>0</x:v>
      </x:c>
      <x:c r="J176" s="6" t="n">
        <x:v>0</x:v>
      </x:c>
      <x:c r="K176" s="6" t="n">
        <x:v>-171</x:v>
      </x:c>
      <x:c r="L176" s="6" t="n">
        <x:v>171</x:v>
      </x:c>
      <x:c r="M176" s="6" t="n">
        <x:v>5.1474944768</x:v>
      </x:c>
      <x:c r="N176" s="6" t="n">
        <x:v>0</x:v>
      </x:c>
      <x:c r="O176" s="4" t="str">
        <x:v>Glioblastoma</x:v>
      </x:c>
      <x:c r="P176" s="6" t="n">
        <x:v>5</x:v>
      </x:c>
      <x:c r="Q176" s="8" t="n">
        <x:v>0.7279447108</x:v>
      </x:c>
      <x:c r="R176" s="6" t="n">
        <x:v>1</x:v>
      </x:c>
      <x:c r="S176" s="8" t="n">
        <x:v>0.739104574</x:v>
      </x:c>
      <x:c r="T176" s="6" t="n">
        <x:v>1</x:v>
      </x:c>
      <x:c r="U176" s="8" t="n">
        <x:v>0.7516339869</x:v>
      </x:c>
      <x:c r="V176" s="6" t="n">
        <x:v>1</x:v>
      </x:c>
    </x:row>
    <x:row r="177" ht="28" customHeight="1">
      <x:c r="A177" s="4" t="str">
        <x:v>UCSD-PTGBM-0150_02</x:v>
      </x:c>
      <x:c r="B177" s="4" t="str">
        <x:v>UCSD-PTGBM-0150</x:v>
      </x:c>
      <x:c r="C177" s="4" t="str">
        <x:v>BraTS-GLI-02405-101</x:v>
      </x:c>
      <x:c r="D177" s="4" t="str">
        <x:v>BraTS-GLI-02405</x:v>
      </x:c>
      <x:c r="E177" s="4" t="str">
        <x:v>dualid:UCSD-PTGBM-0150</x:v>
      </x:c>
      <x:c r="F177" s="6" t="n">
        <x:v>0</x:v>
      </x:c>
      <x:c r="G177" s="4" t="str">
        <x:v>explicit_negative_case_list</x:v>
      </x:c>
      <x:c r="H177" s="6" t="n">
        <x:v>76</x:v>
      </x:c>
      <x:c r="I177" s="6" t="n">
        <x:v>0</x:v>
      </x:c>
      <x:c r="J177" s="6" t="n">
        <x:v>0</x:v>
      </x:c>
      <x:c r="K177" s="6" t="n">
        <x:v>-351</x:v>
      </x:c>
      <x:c r="L177" s="6" t="n">
        <x:v>351</x:v>
      </x:c>
      <x:c r="M177" s="6" t="n">
        <x:v>5.8636311756</x:v>
      </x:c>
      <x:c r="N177" s="6" t="n">
        <x:v>0</x:v>
      </x:c>
      <x:c r="O177" s="4" t="str">
        <x:v>Glioblastoma</x:v>
      </x:c>
      <x:c r="P177" s="6" t="n">
        <x:v>3</x:v>
      </x:c>
      <x:c r="Q177" s="8" t="n">
        <x:v>0.8182390589</x:v>
      </x:c>
      <x:c r="R177" s="6" t="n">
        <x:v>1</x:v>
      </x:c>
      <x:c r="S177" s="8" t="n">
        <x:v>0.6384392377</x:v>
      </x:c>
      <x:c r="T177" s="6" t="n">
        <x:v>1</x:v>
      </x:c>
      <x:c r="U177" s="8" t="n">
        <x:v>0.7548387097</x:v>
      </x:c>
      <x:c r="V177" s="6" t="n">
        <x:v>1</x:v>
      </x:c>
    </x:row>
    <x:row r="178" ht="28" customHeight="1">
      <x:c r="A178" s="4" t="str">
        <x:v>UCSD-PTGBM-0154_01</x:v>
      </x:c>
      <x:c r="B178" s="4" t="str">
        <x:v>UCSD-PTGBM-0154</x:v>
      </x:c>
      <x:c r="C178" s="4" t="str">
        <x:v>BraTS-GLI-02409-100</x:v>
      </x:c>
      <x:c r="D178" s="4" t="str">
        <x:v>BraTS-GLI-02409</x:v>
      </x:c>
      <x:c r="E178" s="4" t="str">
        <x:v>dualid:UCSD-PTGBM-0154</x:v>
      </x:c>
      <x:c r="F178" s="6" t="n">
        <x:v>1</x:v>
      </x:c>
      <x:c r="G178" s="4" t="str">
        <x:v>derived_from_published_243_equals_192_plus_51_partition</x:v>
      </x:c>
      <x:c r="H178" s="6" t="n">
        <x:v>61</x:v>
      </x:c>
      <x:c r="I178" s="6" t="n">
        <x:v>1</x:v>
      </x:c>
      <x:c r="J178" s="6" t="n">
        <x:v>0</x:v>
      </x:c>
      <x:c r="K178" s="6" t="n">
        <x:v>-161</x:v>
      </x:c>
      <x:c r="L178" s="6" t="n">
        <x:v>161</x:v>
      </x:c>
      <x:c r="M178" s="6" t="n">
        <x:v>5.0875963352</x:v>
      </x:c>
      <x:c r="N178" s="6" t="n">
        <x:v>0</x:v>
      </x:c>
      <x:c r="O178" s="4" t="str">
        <x:v>Glioblastoma</x:v>
      </x:c>
      <x:c r="P178" s="6" t="n">
        <x:v>1</x:v>
      </x:c>
      <x:c r="Q178" s="8" t="n">
        <x:v>0.7848696378</x:v>
      </x:c>
      <x:c r="R178" s="6" t="n">
        <x:v>1</x:v>
      </x:c>
      <x:c r="S178" s="8" t="n">
        <x:v>0.744439195</x:v>
      </x:c>
      <x:c r="T178" s="6" t="n">
        <x:v>1</x:v>
      </x:c>
      <x:c r="U178" s="8" t="n">
        <x:v>0.7597402597</x:v>
      </x:c>
      <x:c r="V178" s="6" t="n">
        <x:v>1</x:v>
      </x:c>
    </x:row>
    <x:row r="179" ht="28" customHeight="1">
      <x:c r="A179" s="4" t="str">
        <x:v>UCSD-PTGBM-0155_01</x:v>
      </x:c>
      <x:c r="B179" s="4" t="str">
        <x:v>UCSD-PTGBM-0155</x:v>
      </x:c>
      <x:c r="C179" s="4" t="str">
        <x:v>BraTS-GLI-02410-100</x:v>
      </x:c>
      <x:c r="D179" s="4" t="str">
        <x:v>BraTS-GLI-02410</x:v>
      </x:c>
      <x:c r="E179" s="4" t="str">
        <x:v>dualid:UCSD-PTGBM-0155</x:v>
      </x:c>
      <x:c r="F179" s="6" t="n">
        <x:v>1</x:v>
      </x:c>
      <x:c r="G179" s="4" t="str">
        <x:v>derived_from_published_243_equals_192_plus_51_partition</x:v>
      </x:c>
      <x:c r="H179" s="6" t="n">
        <x:v>37</x:v>
      </x:c>
      <x:c r="I179" s="6" t="n">
        <x:v>1</x:v>
      </x:c>
      <x:c r="J179" s="6" t="n">
        <x:v>0</x:v>
      </x:c>
      <x:c r="K179" s="6" t="n">
        <x:v>-9</x:v>
      </x:c>
      <x:c r="L179" s="6" t="n">
        <x:v>9</x:v>
      </x:c>
      <x:c r="M179" s="6" t="n">
        <x:v>2.302585093</x:v>
      </x:c>
      <x:c r="N179" s="6" t="n">
        <x:v>0</x:v>
      </x:c>
      <x:c r="O179" s="4" t="str">
        <x:v>Glioblastoma</x:v>
      </x:c>
      <x:c r="P179" s="6" t="n">
        <x:v>1</x:v>
      </x:c>
      <x:c r="Q179" s="8" t="n">
        <x:v>0.6796485049</x:v>
      </x:c>
      <x:c r="R179" s="6" t="n">
        <x:v>1</x:v>
      </x:c>
      <x:c r="S179" s="8" t="n">
        <x:v>0.8873088981</x:v>
      </x:c>
      <x:c r="T179" s="6" t="n">
        <x:v>1</x:v>
      </x:c>
      <x:c r="U179" s="8" t="n">
        <x:v>0.7597402597</x:v>
      </x:c>
      <x:c r="V179" s="6" t="n">
        <x:v>1</x:v>
      </x:c>
    </x:row>
    <x:row r="180" ht="28" customHeight="1">
      <x:c r="A180" s="4" t="str">
        <x:v>UCSD-PTGBM-0155_02</x:v>
      </x:c>
      <x:c r="B180" s="4" t="str">
        <x:v>UCSD-PTGBM-0155</x:v>
      </x:c>
      <x:c r="C180" s="4" t="str">
        <x:v>BraTS-GLI-02410-101</x:v>
      </x:c>
      <x:c r="D180" s="4" t="str">
        <x:v>BraTS-GLI-02410</x:v>
      </x:c>
      <x:c r="E180" s="4" t="str">
        <x:v>dualid:UCSD-PTGBM-0155</x:v>
      </x:c>
      <x:c r="F180" s="6" t="n">
        <x:v>1</x:v>
      </x:c>
      <x:c r="G180" s="4" t="str">
        <x:v>derived_from_published_243_equals_192_plus_51_partition</x:v>
      </x:c>
      <x:c r="H180" s="6" t="n">
        <x:v>37</x:v>
      </x:c>
      <x:c r="I180" s="6" t="n">
        <x:v>1</x:v>
      </x:c>
      <x:c r="J180" s="6" t="n">
        <x:v>0</x:v>
      </x:c>
      <x:c r="K180" s="6" t="n">
        <x:v>-195</x:v>
      </x:c>
      <x:c r="L180" s="6" t="n">
        <x:v>195</x:v>
      </x:c>
      <x:c r="M180" s="6" t="n">
        <x:v>5.2781146592</x:v>
      </x:c>
      <x:c r="N180" s="6" t="n">
        <x:v>0</x:v>
      </x:c>
      <x:c r="O180" s="4" t="str">
        <x:v>Glioblastoma</x:v>
      </x:c>
      <x:c r="P180" s="6" t="n">
        <x:v>1</x:v>
      </x:c>
      <x:c r="Q180" s="8" t="n">
        <x:v>0.6796485049</x:v>
      </x:c>
      <x:c r="R180" s="6" t="n">
        <x:v>1</x:v>
      </x:c>
      <x:c r="S180" s="8" t="n">
        <x:v>0.6677990718</x:v>
      </x:c>
      <x:c r="T180" s="6" t="n">
        <x:v>1</x:v>
      </x:c>
      <x:c r="U180" s="8" t="n">
        <x:v>0.7597402597</x:v>
      </x:c>
      <x:c r="V180" s="6" t="n">
        <x:v>1</x:v>
      </x:c>
    </x:row>
    <x:row r="181" ht="28" customHeight="1">
      <x:c r="A181" s="4" t="str">
        <x:v>UCSD-PTGBM-0157_01</x:v>
      </x:c>
      <x:c r="B181" s="4" t="str">
        <x:v>UCSD-PTGBM-0157</x:v>
      </x:c>
      <x:c r="C181" s="4" t="str">
        <x:v>BraTS-GLI-02412-100</x:v>
      </x:c>
      <x:c r="D181" s="4" t="str">
        <x:v>BraTS-GLI-02412</x:v>
      </x:c>
      <x:c r="E181" s="4" t="str">
        <x:v>dualid:UCSD-PTGBM-0157</x:v>
      </x:c>
      <x:c r="F181" s="6" t="n">
        <x:v>1</x:v>
      </x:c>
      <x:c r="G181" s="4" t="str">
        <x:v>derived_from_published_243_equals_192_plus_51_partition</x:v>
      </x:c>
      <x:c r="H181" s="6" t="n">
        <x:v>53</x:v>
      </x:c>
      <x:c r="I181" s="6" t="n">
        <x:v>1</x:v>
      </x:c>
      <x:c r="J181" s="6" t="n">
        <x:v>1</x:v>
      </x:c>
      <x:c r="K181" s="6" t="n">
        <x:v>-238</x:v>
      </x:c>
      <x:c r="L181" s="6" t="n">
        <x:v>238</x:v>
      </x:c>
      <x:c r="M181" s="6" t="n">
        <x:v>5.4764635519</x:v>
      </x:c>
      <x:c r="N181" s="6" t="n">
        <x:v>0</x:v>
      </x:c>
      <x:c r="O181" s="4" t="str">
        <x:v>Glioblastoma</x:v>
      </x:c>
      <x:c r="P181" s="6" t="n">
        <x:v>1</x:v>
      </x:c>
      <x:c r="Q181" s="8" t="n">
        <x:v>0.7527936897</x:v>
      </x:c>
      <x:c r="R181" s="6" t="n">
        <x:v>1</x:v>
      </x:c>
      <x:c r="S181" s="8" t="n">
        <x:v>0.77421917</x:v>
      </x:c>
      <x:c r="T181" s="6" t="n">
        <x:v>1</x:v>
      </x:c>
      <x:c r="U181" s="8" t="n">
        <x:v>0.7597402597</x:v>
      </x:c>
      <x:c r="V181" s="6" t="n">
        <x:v>1</x:v>
      </x:c>
    </x:row>
    <x:row r="182" ht="28" customHeight="1">
      <x:c r="A182" s="4" t="str">
        <x:v>UCSD-PTGBM-0159_01</x:v>
      </x:c>
      <x:c r="B182" s="4" t="str">
        <x:v>UCSD-PTGBM-0159</x:v>
      </x:c>
      <x:c r="C182" s="4" t="str">
        <x:v>BraTS-GLI-02414-100</x:v>
      </x:c>
      <x:c r="D182" s="4" t="str">
        <x:v>BraTS-GLI-02414</x:v>
      </x:c>
      <x:c r="E182" s="4" t="str">
        <x:v>dualid:UCSD-PTGBM-0159</x:v>
      </x:c>
      <x:c r="F182" s="6" t="n">
        <x:v>1</x:v>
      </x:c>
      <x:c r="G182" s="4" t="str">
        <x:v>derived_from_published_243_equals_192_plus_51_partition</x:v>
      </x:c>
      <x:c r="H182" s="6" t="n">
        <x:v>38</x:v>
      </x:c>
      <x:c r="I182" s="6" t="n">
        <x:v>1</x:v>
      </x:c>
      <x:c r="J182" s="6" t="n">
        <x:v>1</x:v>
      </x:c>
      <x:c r="K182" s="6" t="n">
        <x:v>-456</x:v>
      </x:c>
      <x:c r="L182" s="6" t="n">
        <x:v>456</x:v>
      </x:c>
      <x:c r="M182" s="6" t="n">
        <x:v>6.1246833909</x:v>
      </x:c>
      <x:c r="N182" s="6" t="n">
        <x:v>0</x:v>
      </x:c>
      <x:c r="O182" s="4" t="str">
        <x:v>Glioblastoma</x:v>
      </x:c>
      <x:c r="P182" s="6" t="n">
        <x:v>1</x:v>
      </x:c>
      <x:c r="Q182" s="8" t="n">
        <x:v>0.6845464662</x:v>
      </x:c>
      <x:c r="R182" s="6" t="n">
        <x:v>1</x:v>
      </x:c>
      <x:c r="S182" s="8" t="n">
        <x:v>0.6808474748</x:v>
      </x:c>
      <x:c r="T182" s="6" t="n">
        <x:v>1</x:v>
      </x:c>
      <x:c r="U182" s="8" t="n">
        <x:v>0.7597402597</x:v>
      </x:c>
      <x:c r="V182" s="6" t="n">
        <x:v>1</x:v>
      </x:c>
    </x:row>
    <x:row r="183" ht="28" customHeight="1">
      <x:c r="A183" s="4" t="str">
        <x:v>UCSD-PTGBM-0160_01</x:v>
      </x:c>
      <x:c r="B183" s="4" t="str">
        <x:v>UCSD-PTGBM-0160</x:v>
      </x:c>
      <x:c r="C183" s="4" t="str">
        <x:v>BraTS-GLI-02415-100</x:v>
      </x:c>
      <x:c r="D183" s="4" t="str">
        <x:v>BraTS-GLI-02415</x:v>
      </x:c>
      <x:c r="E183" s="4" t="str">
        <x:v>dualid:UCSD-PTGBM-0160</x:v>
      </x:c>
      <x:c r="F183" s="6" t="n">
        <x:v>1</x:v>
      </x:c>
      <x:c r="G183" s="4" t="str">
        <x:v>derived_from_published_243_equals_192_plus_51_partition</x:v>
      </x:c>
      <x:c r="H183" s="6" t="n">
        <x:v>30</x:v>
      </x:c>
      <x:c r="I183" s="6" t="n">
        <x:v>1</x:v>
      </x:c>
      <x:c r="J183" s="6" t="n">
        <x:v>0</x:v>
      </x:c>
      <x:c r="K183" s="6" t="n">
        <x:v>-81</x:v>
      </x:c>
      <x:c r="L183" s="6" t="n">
        <x:v>81</x:v>
      </x:c>
      <x:c r="M183" s="6" t="n">
        <x:v>4.4067192473</x:v>
      </x:c>
      <x:c r="N183" s="6" t="n">
        <x:v>0</x:v>
      </x:c>
      <x:c r="O183" s="4" t="str">
        <x:v>Glioblastoma</x:v>
      </x:c>
      <x:c r="P183" s="6" t="n">
        <x:v>1</x:v>
      </x:c>
      <x:c r="Q183" s="8" t="n">
        <x:v>0.6442914863</x:v>
      </x:c>
      <x:c r="R183" s="6" t="n">
        <x:v>1</x:v>
      </x:c>
      <x:c r="S183" s="8" t="n">
        <x:v>0.7340736958</x:v>
      </x:c>
      <x:c r="T183" s="6" t="n">
        <x:v>1</x:v>
      </x:c>
      <x:c r="U183" s="8" t="n">
        <x:v>0.7597402597</x:v>
      </x:c>
      <x:c r="V183" s="6" t="n">
        <x:v>1</x:v>
      </x:c>
    </x:row>
    <x:row r="184" ht="28" customHeight="1">
      <x:c r="A184" s="4" t="str">
        <x:v>UCSD-PTGBM-0161_01</x:v>
      </x:c>
      <x:c r="B184" s="4" t="str">
        <x:v>UCSD-PTGBM-0161</x:v>
      </x:c>
      <x:c r="C184" s="4" t="str">
        <x:v>BraTS-GLI-02416-100</x:v>
      </x:c>
      <x:c r="D184" s="4" t="str">
        <x:v>BraTS-GLI-02416</x:v>
      </x:c>
      <x:c r="E184" s="4" t="str">
        <x:v>dualid:UCSD-PTGBM-0161</x:v>
      </x:c>
      <x:c r="F184" s="6" t="n">
        <x:v>1</x:v>
      </x:c>
      <x:c r="G184" s="4" t="str">
        <x:v>derived_from_published_243_equals_192_plus_51_partition</x:v>
      </x:c>
      <x:c r="H184" s="6" t="n">
        <x:v>45</x:v>
      </x:c>
      <x:c r="I184" s="6" t="n">
        <x:v>1</x:v>
      </x:c>
      <x:c r="J184" s="6" t="n">
        <x:v>1</x:v>
      </x:c>
      <x:c r="K184" s="6" t="n">
        <x:v>-810</x:v>
      </x:c>
      <x:c r="L184" s="6" t="n">
        <x:v>810</x:v>
      </x:c>
      <x:c r="M184" s="6" t="n">
        <x:v>6.6982680541</x:v>
      </x:c>
      <x:c r="N184" s="6" t="n">
        <x:v>0</x:v>
      </x:c>
      <x:c r="O184" s="4" t="str">
        <x:v>Glioblastoma</x:v>
      </x:c>
      <x:c r="P184" s="6" t="n">
        <x:v>5</x:v>
      </x:c>
      <x:c r="Q184" s="8" t="n">
        <x:v>0.7093421655</x:v>
      </x:c>
      <x:c r="R184" s="6" t="n">
        <x:v>1</x:v>
      </x:c>
      <x:c r="S184" s="8" t="n">
        <x:v>0.6543597997</x:v>
      </x:c>
      <x:c r="T184" s="6" t="n">
        <x:v>1</x:v>
      </x:c>
      <x:c r="U184" s="8" t="n">
        <x:v>0.7516339869</x:v>
      </x:c>
      <x:c r="V184" s="6" t="n">
        <x:v>1</x:v>
      </x:c>
    </x:row>
    <x:row r="185" ht="28" customHeight="1">
      <x:c r="A185" s="4" t="str">
        <x:v>UCSD-PTGBM-0163_01</x:v>
      </x:c>
      <x:c r="B185" s="4" t="str">
        <x:v>UCSD-PTGBM-0163</x:v>
      </x:c>
      <x:c r="C185" s="4" t="str">
        <x:v>BraTS-GLI-02418-100</x:v>
      </x:c>
      <x:c r="D185" s="4" t="str">
        <x:v>BraTS-GLI-02418</x:v>
      </x:c>
      <x:c r="E185" s="4" t="str">
        <x:v>dualid:UCSD-PTGBM-0163</x:v>
      </x:c>
      <x:c r="F185" s="6" t="n">
        <x:v>1</x:v>
      </x:c>
      <x:c r="G185" s="4" t="str">
        <x:v>derived_from_published_243_equals_192_plus_51_partition</x:v>
      </x:c>
      <x:c r="H185" s="6" t="n">
        <x:v>67</x:v>
      </x:c>
      <x:c r="I185" s="6" t="n">
        <x:v>0</x:v>
      </x:c>
      <x:c r="J185" s="6" t="n">
        <x:v>0</x:v>
      </x:c>
      <x:c r="K185" s="6" t="n">
        <x:v>-21</x:v>
      </x:c>
      <x:c r="L185" s="6" t="n">
        <x:v>21</x:v>
      </x:c>
      <x:c r="M185" s="6" t="n">
        <x:v>3.0910424534</x:v>
      </x:c>
      <x:c r="N185" s="6" t="n">
        <x:v>0</x:v>
      </x:c>
      <x:c r="O185" s="4" t="str">
        <x:v>Glioblastoma</x:v>
      </x:c>
      <x:c r="P185" s="6" t="n">
        <x:v>1</x:v>
      </x:c>
      <x:c r="Q185" s="8" t="n">
        <x:v>0.8136970274</x:v>
      </x:c>
      <x:c r="R185" s="6" t="n">
        <x:v>1</x:v>
      </x:c>
      <x:c r="S185" s="8" t="n">
        <x:v>0.9094467444</x:v>
      </x:c>
      <x:c r="T185" s="6" t="n">
        <x:v>1</x:v>
      </x:c>
      <x:c r="U185" s="8" t="n">
        <x:v>0.7597402597</x:v>
      </x:c>
      <x:c r="V185" s="6" t="n">
        <x:v>1</x:v>
      </x:c>
    </x:row>
    <x:row r="186" ht="28" customHeight="1">
      <x:c r="A186" s="4" t="str">
        <x:v>UCSD-PTGBM-0163_02</x:v>
      </x:c>
      <x:c r="B186" s="4" t="str">
        <x:v>UCSD-PTGBM-0163</x:v>
      </x:c>
      <x:c r="C186" s="4" t="str">
        <x:v>BraTS-GLI-02418-101</x:v>
      </x:c>
      <x:c r="D186" s="4" t="str">
        <x:v>BraTS-GLI-02418</x:v>
      </x:c>
      <x:c r="E186" s="4" t="str">
        <x:v>dualid:UCSD-PTGBM-0163</x:v>
      </x:c>
      <x:c r="F186" s="6" t="n">
        <x:v>0</x:v>
      </x:c>
      <x:c r="G186" s="4" t="str">
        <x:v>explicit_negative_case_list</x:v>
      </x:c>
      <x:c r="H186" s="6" t="n">
        <x:v>67</x:v>
      </x:c>
      <x:c r="I186" s="6" t="n">
        <x:v>0</x:v>
      </x:c>
      <x:c r="J186" s="6" t="n">
        <x:v>0</x:v>
      </x:c>
      <x:c r="K186" s="6" t="n">
        <x:v>-151</x:v>
      </x:c>
      <x:c r="L186" s="6" t="n">
        <x:v>151</x:v>
      </x:c>
      <x:c r="M186" s="6" t="n">
        <x:v>5.0238805208</x:v>
      </x:c>
      <x:c r="N186" s="6" t="n">
        <x:v>0</x:v>
      </x:c>
      <x:c r="O186" s="4" t="str">
        <x:v>Glioblastoma</x:v>
      </x:c>
      <x:c r="P186" s="6" t="n">
        <x:v>1</x:v>
      </x:c>
      <x:c r="Q186" s="8" t="n">
        <x:v>0.8136970274</x:v>
      </x:c>
      <x:c r="R186" s="6" t="n">
        <x:v>1</x:v>
      </x:c>
      <x:c r="S186" s="8" t="n">
        <x:v>0.8053435415</x:v>
      </x:c>
      <x:c r="T186" s="6" t="n">
        <x:v>1</x:v>
      </x:c>
      <x:c r="U186" s="8" t="n">
        <x:v>0.7597402597</x:v>
      </x:c>
      <x:c r="V186" s="6" t="n">
        <x:v>1</x:v>
      </x:c>
    </x:row>
    <x:row r="187" ht="28" customHeight="1">
      <x:c r="A187" s="4" t="str">
        <x:v>UCSD-PTGBM-0163_03</x:v>
      </x:c>
      <x:c r="B187" s="4" t="str">
        <x:v>UCSD-PTGBM-0163</x:v>
      </x:c>
      <x:c r="C187" s="4" t="str">
        <x:v>BraTS-GLI-02418-102</x:v>
      </x:c>
      <x:c r="D187" s="4" t="str">
        <x:v>BraTS-GLI-02418</x:v>
      </x:c>
      <x:c r="E187" s="4" t="str">
        <x:v>dualid:UCSD-PTGBM-0163</x:v>
      </x:c>
      <x:c r="F187" s="6" t="n">
        <x:v>0</x:v>
      </x:c>
      <x:c r="G187" s="4" t="str">
        <x:v>explicit_negative_case_list</x:v>
      </x:c>
      <x:c r="H187" s="6" t="n">
        <x:v>67</x:v>
      </x:c>
      <x:c r="I187" s="6" t="n">
        <x:v>0</x:v>
      </x:c>
      <x:c r="J187" s="6" t="n">
        <x:v>0</x:v>
      </x:c>
      <x:c r="K187" s="6" t="n">
        <x:v>-989</x:v>
      </x:c>
      <x:c r="L187" s="6" t="n">
        <x:v>989</x:v>
      </x:c>
      <x:c r="M187" s="6" t="n">
        <x:v>6.8977049431</x:v>
      </x:c>
      <x:c r="N187" s="6" t="n">
        <x:v>0</x:v>
      </x:c>
      <x:c r="O187" s="4" t="str">
        <x:v>Glioblastoma</x:v>
      </x:c>
      <x:c r="P187" s="6" t="n">
        <x:v>1</x:v>
      </x:c>
      <x:c r="Q187" s="8" t="n">
        <x:v>0.8136970274</x:v>
      </x:c>
      <x:c r="R187" s="6" t="n">
        <x:v>1</x:v>
      </x:c>
      <x:c r="S187" s="8" t="n">
        <x:v>0.6365092195</x:v>
      </x:c>
      <x:c r="T187" s="6" t="n">
        <x:v>1</x:v>
      </x:c>
      <x:c r="U187" s="8" t="n">
        <x:v>0.7597402597</x:v>
      </x:c>
      <x:c r="V187" s="6" t="n">
        <x:v>1</x:v>
      </x:c>
    </x:row>
    <x:row r="188" ht="28" customHeight="1">
      <x:c r="A188" s="4" t="str">
        <x:v>UCSD-PTGBM-0164_01</x:v>
      </x:c>
      <x:c r="B188" s="4" t="str">
        <x:v>UCSD-PTGBM-0164</x:v>
      </x:c>
      <x:c r="C188" s="4" t="str">
        <x:v>BraTS-GLI-02419-100</x:v>
      </x:c>
      <x:c r="D188" s="4" t="str">
        <x:v>BraTS-GLI-02419</x:v>
      </x:c>
      <x:c r="E188" s="4" t="str">
        <x:v>dualid:UCSD-PTGBM-0164</x:v>
      </x:c>
      <x:c r="F188" s="6" t="n">
        <x:v>0</x:v>
      </x:c>
      <x:c r="G188" s="4" t="str">
        <x:v>explicit_negative_case_list</x:v>
      </x:c>
      <x:c r="H188" s="6" t="n">
        <x:v>49</x:v>
      </x:c>
      <x:c r="I188" s="6" t="n">
        <x:v>1</x:v>
      </x:c>
      <x:c r="J188" s="6" t="n">
        <x:v>0</x:v>
      </x:c>
      <x:c r="K188" s="6" t="n">
        <x:v>-22</x:v>
      </x:c>
      <x:c r="L188" s="6" t="n">
        <x:v>22</x:v>
      </x:c>
      <x:c r="M188" s="6" t="n">
        <x:v>3.1354942159</x:v>
      </x:c>
      <x:c r="N188" s="6" t="n">
        <x:v>0</x:v>
      </x:c>
      <x:c r="O188" s="4" t="str">
        <x:v>Glioblastoma</x:v>
      </x:c>
      <x:c r="P188" s="6" t="n">
        <x:v>4</x:v>
      </x:c>
      <x:c r="Q188" s="8" t="n">
        <x:v>0.7500510303</x:v>
      </x:c>
      <x:c r="R188" s="6" t="n">
        <x:v>1</x:v>
      </x:c>
      <x:c r="S188" s="8" t="n">
        <x:v>0.8954458106</x:v>
      </x:c>
      <x:c r="T188" s="6" t="n">
        <x:v>1</x:v>
      </x:c>
      <x:c r="U188" s="8" t="n">
        <x:v>0.7516339869</x:v>
      </x:c>
      <x:c r="V188" s="6" t="n">
        <x:v>1</x:v>
      </x:c>
    </x:row>
    <x:row r="189" ht="28" customHeight="1">
      <x:c r="A189" s="4" t="str">
        <x:v>UCSD-PTGBM-0165_01</x:v>
      </x:c>
      <x:c r="B189" s="4" t="str">
        <x:v>UCSD-PTGBM-0165</x:v>
      </x:c>
      <x:c r="C189" s="4" t="str">
        <x:v>BraTS-GLI-02420-101</x:v>
      </x:c>
      <x:c r="D189" s="4" t="str">
        <x:v>BraTS-GLI-02420</x:v>
      </x:c>
      <x:c r="E189" s="4" t="str">
        <x:v>dualid:UCSD-PTGBM-0165</x:v>
      </x:c>
      <x:c r="F189" s="6" t="n">
        <x:v>0</x:v>
      </x:c>
      <x:c r="G189" s="4" t="str">
        <x:v>explicit_negative_case_list</x:v>
      </x:c>
      <x:c r="H189" s="6" t="n">
        <x:v>66</x:v>
      </x:c>
      <x:c r="I189" s="6" t="n">
        <x:v>1</x:v>
      </x:c>
      <x:c r="J189" s="6" t="n">
        <x:v>1</x:v>
      </x:c>
      <x:c r="K189" s="6" t="n">
        <x:v>-585</x:v>
      </x:c>
      <x:c r="L189" s="6" t="n">
        <x:v>585</x:v>
      </x:c>
      <x:c r="M189" s="6" t="n">
        <x:v>6.3733197896</x:v>
      </x:c>
      <x:c r="N189" s="6" t="n">
        <x:v>0</x:v>
      </x:c>
      <x:c r="O189" s="4" t="str">
        <x:v>Glioblastoma</x:v>
      </x:c>
      <x:c r="P189" s="6" t="n">
        <x:v>2</x:v>
      </x:c>
      <x:c r="Q189" s="8" t="n">
        <x:v>0.8299106654</x:v>
      </x:c>
      <x:c r="R189" s="6" t="n">
        <x:v>1</x:v>
      </x:c>
      <x:c r="S189" s="8" t="n">
        <x:v>0.8457505823</x:v>
      </x:c>
      <x:c r="T189" s="6" t="n">
        <x:v>1</x:v>
      </x:c>
      <x:c r="U189" s="8" t="n">
        <x:v>0.7581699346</x:v>
      </x:c>
      <x:c r="V189" s="6" t="n">
        <x:v>1</x:v>
      </x:c>
    </x:row>
    <x:row r="190" ht="28" customHeight="1">
      <x:c r="A190" s="4" t="str">
        <x:v>UCSD-PTGBM-0166_01</x:v>
      </x:c>
      <x:c r="B190" s="4" t="str">
        <x:v>UCSD-PTGBM-0166</x:v>
      </x:c>
      <x:c r="C190" s="4" t="str">
        <x:v>BraTS-GLI-02421-100</x:v>
      </x:c>
      <x:c r="D190" s="4" t="str">
        <x:v>BraTS-GLI-02421</x:v>
      </x:c>
      <x:c r="E190" s="4" t="str">
        <x:v>dualid:UCSD-PTGBM-0166</x:v>
      </x:c>
      <x:c r="F190" s="6" t="n">
        <x:v>1</x:v>
      </x:c>
      <x:c r="G190" s="4" t="str">
        <x:v>derived_from_published_243_equals_192_plus_51_partition</x:v>
      </x:c>
      <x:c r="H190" s="6" t="n">
        <x:v>29</x:v>
      </x:c>
      <x:c r="I190" s="6" t="n">
        <x:v>1</x:v>
      </x:c>
      <x:c r="J190" s="6" t="n">
        <x:v>1</x:v>
      </x:c>
      <x:c r="K190" s="6" t="n">
        <x:v>-468</x:v>
      </x:c>
      <x:c r="L190" s="6" t="n">
        <x:v>468</x:v>
      </x:c>
      <x:c r="M190" s="6" t="n">
        <x:v>6.1506027684</x:v>
      </x:c>
      <x:c r="N190" s="6" t="n">
        <x:v>0</x:v>
      </x:c>
      <x:c r="O190" s="4" t="str">
        <x:v>Glioblastoma</x:v>
      </x:c>
      <x:c r="P190" s="6" t="n">
        <x:v>1</x:v>
      </x:c>
      <x:c r="Q190" s="8" t="n">
        <x:v>0.6390980199</x:v>
      </x:c>
      <x:c r="R190" s="6" t="n">
        <x:v>1</x:v>
      </x:c>
      <x:c r="S190" s="8" t="n">
        <x:v>0.6546317501</x:v>
      </x:c>
      <x:c r="T190" s="6" t="n">
        <x:v>1</x:v>
      </x:c>
      <x:c r="U190" s="8" t="n">
        <x:v>0.7597402597</x:v>
      </x:c>
      <x:c r="V190" s="6" t="n">
        <x:v>1</x:v>
      </x:c>
    </x:row>
    <x:row r="191" ht="28" customHeight="1">
      <x:c r="A191" s="4" t="str">
        <x:v>UCSD-PTGBM-0168_01</x:v>
      </x:c>
      <x:c r="B191" s="4" t="str">
        <x:v>UCSD-PTGBM-0168</x:v>
      </x:c>
      <x:c r="C191" s="4" t="str">
        <x:v>BraTS-GLI-02423-100</x:v>
      </x:c>
      <x:c r="D191" s="4" t="str">
        <x:v>BraTS-GLI-02423</x:v>
      </x:c>
      <x:c r="E191" s="4" t="str">
        <x:v>dualid:UCSD-PTGBM-0168</x:v>
      </x:c>
      <x:c r="F191" s="6" t="n">
        <x:v>1</x:v>
      </x:c>
      <x:c r="G191" s="4" t="str">
        <x:v>derived_from_published_243_equals_192_plus_51_partition</x:v>
      </x:c>
      <x:c r="H191" s="6" t="n">
        <x:v>45</x:v>
      </x:c>
      <x:c r="I191" s="6" t="n">
        <x:v>1</x:v>
      </x:c>
      <x:c r="J191" s="6" t="n">
        <x:v>0</x:v>
      </x:c>
      <x:c r="K191" s="6" t="n">
        <x:v>-21</x:v>
      </x:c>
      <x:c r="L191" s="6" t="n">
        <x:v>21</x:v>
      </x:c>
      <x:c r="M191" s="6" t="n">
        <x:v>3.0910424534</x:v>
      </x:c>
      <x:c r="N191" s="6" t="n">
        <x:v>0</x:v>
      </x:c>
      <x:c r="O191" s="4" t="str">
        <x:v>Glioblastoma</x:v>
      </x:c>
      <x:c r="P191" s="6" t="n">
        <x:v>3</x:v>
      </x:c>
      <x:c r="Q191" s="8" t="n">
        <x:v>0.7271508672</x:v>
      </x:c>
      <x:c r="R191" s="6" t="n">
        <x:v>1</x:v>
      </x:c>
      <x:c r="S191" s="8" t="n">
        <x:v>0.9009471985</x:v>
      </x:c>
      <x:c r="T191" s="6" t="n">
        <x:v>1</x:v>
      </x:c>
      <x:c r="U191" s="8" t="n">
        <x:v>0.7548387097</x:v>
      </x:c>
      <x:c r="V191" s="6" t="n">
        <x:v>1</x:v>
      </x:c>
    </x:row>
    <x:row r="192" ht="28" customHeight="1">
      <x:c r="A192" s="4" t="str">
        <x:v>UCSD-PTGBM-0170_01</x:v>
      </x:c>
      <x:c r="B192" s="4" t="str">
        <x:v>UCSD-PTGBM-0170</x:v>
      </x:c>
      <x:c r="C192" s="4" t="str">
        <x:v>BraTS-GLI-02425-100</x:v>
      </x:c>
      <x:c r="D192" s="4" t="str">
        <x:v>BraTS-GLI-02425</x:v>
      </x:c>
      <x:c r="E192" s="4" t="str">
        <x:v>dualid:UCSD-PTGBM-0170</x:v>
      </x:c>
      <x:c r="F192" s="6" t="n">
        <x:v>1</x:v>
      </x:c>
      <x:c r="G192" s="4" t="str">
        <x:v>derived_from_published_243_equals_192_plus_51_partition</x:v>
      </x:c>
      <x:c r="H192" s="6" t="n">
        <x:v>56</x:v>
      </x:c>
      <x:c r="I192" s="6" t="n">
        <x:v>0</x:v>
      </x:c>
      <x:c r="J192" s="6" t="n">
        <x:v>0</x:v>
      </x:c>
      <x:c r="K192" s="6" t="n">
        <x:v>-50</x:v>
      </x:c>
      <x:c r="L192" s="6" t="n">
        <x:v>50</x:v>
      </x:c>
      <x:c r="M192" s="6" t="n">
        <x:v>3.9318256327</x:v>
      </x:c>
      <x:c r="N192" s="6" t="n">
        <x:v>0</x:v>
      </x:c>
      <x:c r="O192" s="4" t="str">
        <x:v>Glioblastoma</x:v>
      </x:c>
      <x:c r="P192" s="6" t="n">
        <x:v>2</x:v>
      </x:c>
      <x:c r="Q192" s="8" t="n">
        <x:v>0.6891122579</x:v>
      </x:c>
      <x:c r="R192" s="6" t="n">
        <x:v>1</x:v>
      </x:c>
      <x:c r="S192" s="8" t="n">
        <x:v>0.747559956</x:v>
      </x:c>
      <x:c r="T192" s="6" t="n">
        <x:v>1</x:v>
      </x:c>
      <x:c r="U192" s="8" t="n">
        <x:v>0.7581699346</x:v>
      </x:c>
      <x:c r="V192" s="6" t="n">
        <x:v>1</x:v>
      </x:c>
    </x:row>
    <x:row r="193" ht="28" customHeight="1">
      <x:c r="A193" s="4" t="str">
        <x:v>UCSD-PTGBM-0172_01</x:v>
      </x:c>
      <x:c r="B193" s="4" t="str">
        <x:v>UCSD-PTGBM-0172</x:v>
      </x:c>
      <x:c r="C193" s="4" t="str">
        <x:v>BraTS-GLI-02427-100</x:v>
      </x:c>
      <x:c r="D193" s="4" t="str">
        <x:v>BraTS-GLI-02427</x:v>
      </x:c>
      <x:c r="E193" s="4" t="str">
        <x:v>dualid:UCSD-PTGBM-0172</x:v>
      </x:c>
      <x:c r="F193" s="6" t="n">
        <x:v>0</x:v>
      </x:c>
      <x:c r="G193" s="4" t="str">
        <x:v>explicit_negative_case_list</x:v>
      </x:c>
      <x:c r="H193" s="6" t="n">
        <x:v>64</x:v>
      </x:c>
      <x:c r="I193" s="6" t="n">
        <x:v>1</x:v>
      </x:c>
      <x:c r="J193" s="6" t="n">
        <x:v>0</x:v>
      </x:c>
      <x:c r="K193" s="6" t="n">
        <x:v>-218</x:v>
      </x:c>
      <x:c r="L193" s="6" t="n">
        <x:v>218</x:v>
      </x:c>
      <x:c r="M193" s="6" t="n">
        <x:v>5.3890717298</x:v>
      </x:c>
      <x:c r="N193" s="6" t="n">
        <x:v>0</x:v>
      </x:c>
      <x:c r="O193" s="4" t="str">
        <x:v>Glioblastoma</x:v>
      </x:c>
      <x:c r="P193" s="6" t="n">
        <x:v>3</x:v>
      </x:c>
      <x:c r="Q193" s="8" t="n">
        <x:v>0.8202566</x:v>
      </x:c>
      <x:c r="R193" s="6" t="n">
        <x:v>1</x:v>
      </x:c>
      <x:c r="S193" s="8" t="n">
        <x:v>0.7189228626</x:v>
      </x:c>
      <x:c r="T193" s="6" t="n">
        <x:v>1</x:v>
      </x:c>
      <x:c r="U193" s="8" t="n">
        <x:v>0.7548387097</x:v>
      </x:c>
      <x:c r="V193" s="6" t="n">
        <x:v>1</x:v>
      </x:c>
    </x:row>
    <x:row r="194" ht="28" customHeight="1">
      <x:c r="A194" s="4" t="str">
        <x:v>UCSD-PTGBM-0172_02</x:v>
      </x:c>
      <x:c r="B194" s="4" t="str">
        <x:v>UCSD-PTGBM-0172</x:v>
      </x:c>
      <x:c r="C194" s="4" t="str">
        <x:v>BraTS-GLI-02427-101</x:v>
      </x:c>
      <x:c r="D194" s="4" t="str">
        <x:v>BraTS-GLI-02427</x:v>
      </x:c>
      <x:c r="E194" s="4" t="str">
        <x:v>dualid:UCSD-PTGBM-0172</x:v>
      </x:c>
      <x:c r="F194" s="6" t="n">
        <x:v>0</x:v>
      </x:c>
      <x:c r="G194" s="4" t="str">
        <x:v>explicit_negative_case_list</x:v>
      </x:c>
      <x:c r="H194" s="6" t="n">
        <x:v>64</x:v>
      </x:c>
      <x:c r="I194" s="6" t="n">
        <x:v>1</x:v>
      </x:c>
      <x:c r="J194" s="6" t="n">
        <x:v>0</x:v>
      </x:c>
      <x:c r="K194" s="6" t="n">
        <x:v>-408</x:v>
      </x:c>
      <x:c r="L194" s="6" t="n">
        <x:v>408</x:v>
      </x:c>
      <x:c r="M194" s="6" t="n">
        <x:v>6.013715156</x:v>
      </x:c>
      <x:c r="N194" s="6" t="n">
        <x:v>0</x:v>
      </x:c>
      <x:c r="O194" s="4" t="str">
        <x:v>Glioblastoma</x:v>
      </x:c>
      <x:c r="P194" s="6" t="n">
        <x:v>3</x:v>
      </x:c>
      <x:c r="Q194" s="8" t="n">
        <x:v>0.8202566</x:v>
      </x:c>
      <x:c r="R194" s="6" t="n">
        <x:v>1</x:v>
      </x:c>
      <x:c r="S194" s="8" t="n">
        <x:v>0.6343587443</x:v>
      </x:c>
      <x:c r="T194" s="6" t="n">
        <x:v>1</x:v>
      </x:c>
      <x:c r="U194" s="8" t="n">
        <x:v>0.7548387097</x:v>
      </x:c>
      <x:c r="V194" s="6" t="n">
        <x:v>1</x:v>
      </x:c>
    </x:row>
    <x:row r="195" ht="28" customHeight="1">
      <x:c r="A195" s="4" t="str">
        <x:v>UCSD-PTGBM-0173_01</x:v>
      </x:c>
      <x:c r="B195" s="4" t="str">
        <x:v>UCSD-PTGBM-0173</x:v>
      </x:c>
      <x:c r="C195" s="4" t="str">
        <x:v>BraTS-GLI-02428-100</x:v>
      </x:c>
      <x:c r="D195" s="4" t="str">
        <x:v>BraTS-GLI-02428</x:v>
      </x:c>
      <x:c r="E195" s="4" t="str">
        <x:v>dualid:UCSD-PTGBM-0173</x:v>
      </x:c>
      <x:c r="F195" s="6" t="n">
        <x:v>1</x:v>
      </x:c>
      <x:c r="G195" s="4" t="str">
        <x:v>derived_from_published_243_equals_192_plus_51_partition</x:v>
      </x:c>
      <x:c r="H195" s="6" t="n">
        <x:v>69</x:v>
      </x:c>
      <x:c r="I195" s="6" t="n">
        <x:v>1</x:v>
      </x:c>
      <x:c r="J195" s="6" t="n">
        <x:v>0</x:v>
      </x:c>
      <x:c r="K195" s="6" t="n">
        <x:v>-100</x:v>
      </x:c>
      <x:c r="L195" s="6" t="n">
        <x:v>100</x:v>
      </x:c>
      <x:c r="M195" s="6" t="n">
        <x:v>4.6151205168</x:v>
      </x:c>
      <x:c r="N195" s="6" t="n">
        <x:v>0</x:v>
      </x:c>
      <x:c r="O195" s="4" t="str">
        <x:v>Glioblastoma</x:v>
      </x:c>
      <x:c r="P195" s="6" t="n">
        <x:v>3</x:v>
      </x:c>
      <x:c r="Q195" s="8" t="n">
        <x:v>0.8401886238</x:v>
      </x:c>
      <x:c r="R195" s="6" t="n">
        <x:v>1</x:v>
      </x:c>
      <x:c r="S195" s="8" t="n">
        <x:v>0.8118395019</x:v>
      </x:c>
      <x:c r="T195" s="6" t="n">
        <x:v>1</x:v>
      </x:c>
      <x:c r="U195" s="8" t="n">
        <x:v>0.7548387097</x:v>
      </x:c>
      <x:c r="V195" s="6" t="n">
        <x:v>1</x:v>
      </x:c>
    </x:row>
    <x:row r="196" ht="28" customHeight="1">
      <x:c r="A196" s="4" t="str">
        <x:v>UCSD-PTGBM-0174_01</x:v>
      </x:c>
      <x:c r="B196" s="4" t="str">
        <x:v>UCSD-PTGBM-0174</x:v>
      </x:c>
      <x:c r="C196" s="4" t="str">
        <x:v>BraTS-GLI-02429-100</x:v>
      </x:c>
      <x:c r="D196" s="4" t="str">
        <x:v>BraTS-GLI-02429</x:v>
      </x:c>
      <x:c r="E196" s="4" t="str">
        <x:v>dualid:UCSD-PTGBM-0174</x:v>
      </x:c>
      <x:c r="F196" s="6" t="n">
        <x:v>0</x:v>
      </x:c>
      <x:c r="G196" s="4" t="str">
        <x:v>explicit_negative_case_list</x:v>
      </x:c>
      <x:c r="H196" s="6" t="n">
        <x:v>57</x:v>
      </x:c>
      <x:c r="I196" s="6" t="n">
        <x:v>1</x:v>
      </x:c>
      <x:c r="J196" s="6" t="n">
        <x:v>0</x:v>
      </x:c>
      <x:c r="K196" s="6" t="n">
        <x:v>-137</x:v>
      </x:c>
      <x:c r="L196" s="6" t="n">
        <x:v>137</x:v>
      </x:c>
      <x:c r="M196" s="6" t="n">
        <x:v>4.9272536852</x:v>
      </x:c>
      <x:c r="N196" s="6" t="n">
        <x:v>0</x:v>
      </x:c>
      <x:c r="O196" s="4" t="str">
        <x:v>Glioblastoma</x:v>
      </x:c>
      <x:c r="P196" s="6" t="n">
        <x:v>2</x:v>
      </x:c>
      <x:c r="Q196" s="8" t="n">
        <x:v>0.8001760373</x:v>
      </x:c>
      <x:c r="R196" s="6" t="n">
        <x:v>1</x:v>
      </x:c>
      <x:c r="S196" s="8" t="n">
        <x:v>0.7745572458</x:v>
      </x:c>
      <x:c r="T196" s="6" t="n">
        <x:v>1</x:v>
      </x:c>
      <x:c r="U196" s="8" t="n">
        <x:v>0.7581699346</x:v>
      </x:c>
      <x:c r="V196" s="6" t="n">
        <x:v>1</x:v>
      </x:c>
    </x:row>
    <x:row r="197" ht="28" customHeight="1">
      <x:c r="A197" s="4" t="str">
        <x:v>UCSD-PTGBM-0174_02</x:v>
      </x:c>
      <x:c r="B197" s="4" t="str">
        <x:v>UCSD-PTGBM-0174</x:v>
      </x:c>
      <x:c r="C197" s="4" t="str">
        <x:v>BraTS-GLI-02429-101</x:v>
      </x:c>
      <x:c r="D197" s="4" t="str">
        <x:v>BraTS-GLI-02429</x:v>
      </x:c>
      <x:c r="E197" s="4" t="str">
        <x:v>dualid:UCSD-PTGBM-0174</x:v>
      </x:c>
      <x:c r="F197" s="6" t="n">
        <x:v>0</x:v>
      </x:c>
      <x:c r="G197" s="4" t="str">
        <x:v>explicit_negative_case_list</x:v>
      </x:c>
      <x:c r="H197" s="6" t="n">
        <x:v>57</x:v>
      </x:c>
      <x:c r="I197" s="6" t="n">
        <x:v>1</x:v>
      </x:c>
      <x:c r="J197" s="6" t="n">
        <x:v>0</x:v>
      </x:c>
      <x:c r="K197" s="6" t="n">
        <x:v>-280</x:v>
      </x:c>
      <x:c r="L197" s="6" t="n">
        <x:v>280</x:v>
      </x:c>
      <x:c r="M197" s="6" t="n">
        <x:v>5.6383546693</x:v>
      </x:c>
      <x:c r="N197" s="6" t="n">
        <x:v>0</x:v>
      </x:c>
      <x:c r="O197" s="4" t="str">
        <x:v>Glioblastoma</x:v>
      </x:c>
      <x:c r="P197" s="6" t="n">
        <x:v>2</x:v>
      </x:c>
      <x:c r="Q197" s="8" t="n">
        <x:v>0.8001760373</x:v>
      </x:c>
      <x:c r="R197" s="6" t="n">
        <x:v>1</x:v>
      </x:c>
      <x:c r="S197" s="8" t="n">
        <x:v>0.7354236657</x:v>
      </x:c>
      <x:c r="T197" s="6" t="n">
        <x:v>1</x:v>
      </x:c>
      <x:c r="U197" s="8" t="n">
        <x:v>0.7581699346</x:v>
      </x:c>
      <x:c r="V197" s="6" t="n">
        <x:v>1</x:v>
      </x:c>
    </x:row>
    <x:row r="198" ht="28" customHeight="1">
      <x:c r="A198" s="4" t="str">
        <x:v>UCSD-PTGBM-0175_01</x:v>
      </x:c>
      <x:c r="B198" s="4" t="str">
        <x:v>UCSD-PTGBM-0175</x:v>
      </x:c>
      <x:c r="C198" s="4" t="str">
        <x:v>BraTS-GLI-02430-100</x:v>
      </x:c>
      <x:c r="D198" s="4" t="str">
        <x:v>BraTS-GLI-02430</x:v>
      </x:c>
      <x:c r="E198" s="4" t="str">
        <x:v>dualid:UCSD-PTGBM-0175</x:v>
      </x:c>
      <x:c r="F198" s="6" t="n">
        <x:v>1</x:v>
      </x:c>
      <x:c r="G198" s="4" t="str">
        <x:v>derived_from_published_243_equals_192_plus_51_partition</x:v>
      </x:c>
      <x:c r="H198" s="6" t="n">
        <x:v>40</x:v>
      </x:c>
      <x:c r="I198" s="6" t="n">
        <x:v>1</x:v>
      </x:c>
      <x:c r="J198" s="6" t="n">
        <x:v>0</x:v>
      </x:c>
      <x:c r="K198" s="6" t="n">
        <x:v>-209</x:v>
      </x:c>
      <x:c r="L198" s="6" t="n">
        <x:v>209</x:v>
      </x:c>
      <x:c r="M198" s="6" t="n">
        <x:v>5.3471075307</x:v>
      </x:c>
      <x:c r="N198" s="6" t="n">
        <x:v>0</x:v>
      </x:c>
      <x:c r="O198" s="4" t="str">
        <x:v>Glioblastoma</x:v>
      </x:c>
      <x:c r="P198" s="6" t="n">
        <x:v>5</x:v>
      </x:c>
      <x:c r="Q198" s="8" t="n">
        <x:v>0.6800263234</x:v>
      </x:c>
      <x:c r="R198" s="6" t="n">
        <x:v>1</x:v>
      </x:c>
      <x:c r="S198" s="8" t="n">
        <x:v>0.6379366797</x:v>
      </x:c>
      <x:c r="T198" s="6" t="n">
        <x:v>1</x:v>
      </x:c>
      <x:c r="U198" s="8" t="n">
        <x:v>0.7516339869</x:v>
      </x:c>
      <x:c r="V198" s="6" t="n">
        <x:v>1</x:v>
      </x:c>
    </x:row>
    <x:row r="199" ht="28" customHeight="1">
      <x:c r="A199" s="4" t="str">
        <x:v>UCSD-PTGBM-0176_01</x:v>
      </x:c>
      <x:c r="B199" s="4" t="str">
        <x:v>UCSD-PTGBM-0176</x:v>
      </x:c>
      <x:c r="C199" s="4" t="str">
        <x:v>BraTS-GLI-02431-100</x:v>
      </x:c>
      <x:c r="D199" s="4" t="str">
        <x:v>BraTS-GLI-02431</x:v>
      </x:c>
      <x:c r="E199" s="4" t="str">
        <x:v>dualid:UCSD-PTGBM-0176</x:v>
      </x:c>
      <x:c r="F199" s="6" t="n">
        <x:v>1</x:v>
      </x:c>
      <x:c r="G199" s="4" t="str">
        <x:v>derived_from_published_243_equals_192_plus_51_partition</x:v>
      </x:c>
      <x:c r="H199" s="6" t="n">
        <x:v>70</x:v>
      </x:c>
      <x:c r="I199" s="6" t="n">
        <x:v>1</x:v>
      </x:c>
      <x:c r="J199" s="6" t="n">
        <x:v>0</x:v>
      </x:c>
      <x:c r="K199" s="6" t="n">
        <x:v>-127</x:v>
      </x:c>
      <x:c r="L199" s="6" t="n">
        <x:v>127</x:v>
      </x:c>
      <x:c r="M199" s="6" t="n">
        <x:v>4.8520302639</x:v>
      </x:c>
      <x:c r="N199" s="6" t="n">
        <x:v>0</x:v>
      </x:c>
      <x:c r="O199" s="4" t="str">
        <x:v>Glioblastoma</x:v>
      </x:c>
      <x:c r="P199" s="6" t="n">
        <x:v>1</x:v>
      </x:c>
      <x:c r="Q199" s="8" t="n">
        <x:v>0.8172113449</x:v>
      </x:c>
      <x:c r="R199" s="6" t="n">
        <x:v>1</x:v>
      </x:c>
      <x:c r="S199" s="8" t="n">
        <x:v>0.7830573488</x:v>
      </x:c>
      <x:c r="T199" s="6" t="n">
        <x:v>1</x:v>
      </x:c>
      <x:c r="U199" s="8" t="n">
        <x:v>0.7597402597</x:v>
      </x:c>
      <x:c r="V199" s="6" t="n">
        <x:v>1</x:v>
      </x:c>
    </x:row>
    <x:row r="200" ht="28" customHeight="1">
      <x:c r="A200" s="4" t="str">
        <x:v>UCSD-PTGBM-0176_02</x:v>
      </x:c>
      <x:c r="B200" s="4" t="str">
        <x:v>UCSD-PTGBM-0176</x:v>
      </x:c>
      <x:c r="C200" s="4" t="str">
        <x:v>BraTS-GLI-02431-101</x:v>
      </x:c>
      <x:c r="D200" s="4" t="str">
        <x:v>BraTS-GLI-02431</x:v>
      </x:c>
      <x:c r="E200" s="4" t="str">
        <x:v>dualid:UCSD-PTGBM-0176</x:v>
      </x:c>
      <x:c r="F200" s="6" t="n">
        <x:v>1</x:v>
      </x:c>
      <x:c r="G200" s="4" t="str">
        <x:v>derived_from_published_243_equals_192_plus_51_partition</x:v>
      </x:c>
      <x:c r="H200" s="6" t="n">
        <x:v>70</x:v>
      </x:c>
      <x:c r="I200" s="6" t="n">
        <x:v>1</x:v>
      </x:c>
      <x:c r="J200" s="6" t="n">
        <x:v>0</x:v>
      </x:c>
      <x:c r="K200" s="6" t="n">
        <x:v>-185</x:v>
      </x:c>
      <x:c r="L200" s="6" t="n">
        <x:v>185</x:v>
      </x:c>
      <x:c r="M200" s="6" t="n">
        <x:v>5.2257466737</x:v>
      </x:c>
      <x:c r="N200" s="6" t="n">
        <x:v>0</x:v>
      </x:c>
      <x:c r="O200" s="4" t="str">
        <x:v>Glioblastoma</x:v>
      </x:c>
      <x:c r="P200" s="6" t="n">
        <x:v>1</x:v>
      </x:c>
      <x:c r="Q200" s="8" t="n">
        <x:v>0.8172113449</x:v>
      </x:c>
      <x:c r="R200" s="6" t="n">
        <x:v>1</x:v>
      </x:c>
      <x:c r="S200" s="8" t="n">
        <x:v>0.7525197453</x:v>
      </x:c>
      <x:c r="T200" s="6" t="n">
        <x:v>1</x:v>
      </x:c>
      <x:c r="U200" s="8" t="n">
        <x:v>0.7597402597</x:v>
      </x:c>
      <x:c r="V200" s="6" t="n">
        <x:v>1</x:v>
      </x:c>
    </x:row>
    <x:row r="201" ht="28" customHeight="1">
      <x:c r="A201" s="4" t="str">
        <x:v>UCSD-PTGBM-0177_01</x:v>
      </x:c>
      <x:c r="B201" s="4" t="str">
        <x:v>UCSD-PTGBM-0177</x:v>
      </x:c>
      <x:c r="C201" s="4" t="str">
        <x:v>BraTS-GLI-02432-100</x:v>
      </x:c>
      <x:c r="D201" s="4" t="str">
        <x:v>BraTS-GLI-02432</x:v>
      </x:c>
      <x:c r="E201" s="4" t="str">
        <x:v>dualid:UCSD-PTGBM-0177</x:v>
      </x:c>
      <x:c r="F201" s="6" t="n">
        <x:v>1</x:v>
      </x:c>
      <x:c r="G201" s="4" t="str">
        <x:v>derived_from_published_243_equals_192_plus_51_partition</x:v>
      </x:c>
      <x:c r="H201" s="6" t="n">
        <x:v>47</x:v>
      </x:c>
      <x:c r="I201" s="6" t="n">
        <x:v>1</x:v>
      </x:c>
      <x:c r="J201" s="6" t="n">
        <x:v>0</x:v>
      </x:c>
      <x:c r="K201" s="6" t="n">
        <x:v>-260</x:v>
      </x:c>
      <x:c r="L201" s="6" t="n">
        <x:v>260</x:v>
      </x:c>
      <x:c r="M201" s="6" t="n">
        <x:v>5.5645204073</x:v>
      </x:c>
      <x:c r="N201" s="6" t="n">
        <x:v>0</x:v>
      </x:c>
      <x:c r="O201" s="4" t="str">
        <x:v>Glioblastoma</x:v>
      </x:c>
      <x:c r="P201" s="6" t="n">
        <x:v>5</x:v>
      </x:c>
      <x:c r="Q201" s="8" t="n">
        <x:v>0.7206142761</x:v>
      </x:c>
      <x:c r="R201" s="6" t="n">
        <x:v>1</x:v>
      </x:c>
      <x:c r="S201" s="8" t="n">
        <x:v>0.6351650833</x:v>
      </x:c>
      <x:c r="T201" s="6" t="n">
        <x:v>1</x:v>
      </x:c>
      <x:c r="U201" s="8" t="n">
        <x:v>0.7516339869</x:v>
      </x:c>
      <x:c r="V201" s="6" t="n">
        <x:v>1</x:v>
      </x:c>
    </x:row>
    <x:row r="202" ht="28" customHeight="1">
      <x:c r="A202" s="4" t="str">
        <x:v>UCSD-PTGBM-0178_01</x:v>
      </x:c>
      <x:c r="B202" s="4" t="str">
        <x:v>UCSD-PTGBM-0178</x:v>
      </x:c>
      <x:c r="C202" s="4" t="str">
        <x:v>BraTS-GLI-02433-100</x:v>
      </x:c>
      <x:c r="D202" s="4" t="str">
        <x:v>BraTS-GLI-02433</x:v>
      </x:c>
      <x:c r="E202" s="4" t="str">
        <x:v>dualid:UCSD-PTGBM-0178</x:v>
      </x:c>
      <x:c r="F202" s="6" t="n">
        <x:v>1</x:v>
      </x:c>
      <x:c r="G202" s="4" t="str">
        <x:v>derived_from_published_243_equals_192_plus_51_partition</x:v>
      </x:c>
      <x:c r="H202" s="6" t="n">
        <x:v>81</x:v>
      </x:c>
      <x:c r="I202" s="6" t="n">
        <x:v>1</x:v>
      </x:c>
      <x:c r="J202" s="6" t="n">
        <x:v>0</x:v>
      </x:c>
      <x:c r="K202" s="6" t="n">
        <x:v>-29</x:v>
      </x:c>
      <x:c r="L202" s="6" t="n">
        <x:v>29</x:v>
      </x:c>
      <x:c r="M202" s="6" t="n">
        <x:v>3.4011973817</x:v>
      </x:c>
      <x:c r="N202" s="6" t="n">
        <x:v>0</x:v>
      </x:c>
      <x:c r="O202" s="4" t="str">
        <x:v>Glioblastoma</x:v>
      </x:c>
      <x:c r="P202" s="6" t="n">
        <x:v>4</x:v>
      </x:c>
      <x:c r="Q202" s="8" t="n">
        <x:v>0.8668506212</x:v>
      </x:c>
      <x:c r="R202" s="6" t="n">
        <x:v>1</x:v>
      </x:c>
      <x:c r="S202" s="8" t="n">
        <x:v>0.9067871959</x:v>
      </x:c>
      <x:c r="T202" s="6" t="n">
        <x:v>1</x:v>
      </x:c>
      <x:c r="U202" s="8" t="n">
        <x:v>0.7516339869</x:v>
      </x:c>
      <x:c r="V202" s="6" t="n">
        <x:v>1</x:v>
      </x:c>
    </x:row>
    <x:row r="203" ht="28" customHeight="1">
      <x:c r="A203" s="4" t="str">
        <x:v>UCSD-PTGBM-0178_02</x:v>
      </x:c>
      <x:c r="B203" s="4" t="str">
        <x:v>UCSD-PTGBM-0178</x:v>
      </x:c>
      <x:c r="C203" s="4" t="str">
        <x:v>BraTS-GLI-02433-101</x:v>
      </x:c>
      <x:c r="D203" s="4" t="str">
        <x:v>BraTS-GLI-02433</x:v>
      </x:c>
      <x:c r="E203" s="4" t="str">
        <x:v>dualid:UCSD-PTGBM-0178</x:v>
      </x:c>
      <x:c r="F203" s="6" t="n">
        <x:v>1</x:v>
      </x:c>
      <x:c r="G203" s="4" t="str">
        <x:v>derived_from_published_243_equals_192_plus_51_partition</x:v>
      </x:c>
      <x:c r="H203" s="6" t="n">
        <x:v>81</x:v>
      </x:c>
      <x:c r="I203" s="6" t="n">
        <x:v>1</x:v>
      </x:c>
      <x:c r="J203" s="6" t="n">
        <x:v>1</x:v>
      </x:c>
      <x:c r="K203" s="6" t="n">
        <x:v>-643</x:v>
      </x:c>
      <x:c r="L203" s="6" t="n">
        <x:v>643</x:v>
      </x:c>
      <x:c r="M203" s="6" t="n">
        <x:v>6.4676987261</x:v>
      </x:c>
      <x:c r="N203" s="6" t="n">
        <x:v>0</x:v>
      </x:c>
      <x:c r="O203" s="4" t="str">
        <x:v>Glioblastoma</x:v>
      </x:c>
      <x:c r="P203" s="6" t="n">
        <x:v>4</x:v>
      </x:c>
      <x:c r="Q203" s="8" t="n">
        <x:v>0.8668506212</x:v>
      </x:c>
      <x:c r="R203" s="6" t="n">
        <x:v>1</x:v>
      </x:c>
      <x:c r="S203" s="8" t="n">
        <x:v>0.7046314758</x:v>
      </x:c>
      <x:c r="T203" s="6" t="n">
        <x:v>1</x:v>
      </x:c>
      <x:c r="U203" s="8" t="n">
        <x:v>0.7516339869</x:v>
      </x:c>
      <x:c r="V203" s="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0c0c447235c40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  <x:col min="3" max="3" width="32" hidden="0" customWidth="1"/>
    <x:col min="4" max="4" width="32" hidden="0" customWidth="1"/>
    <x:col min="5" max="5" width="22" hidden="0" customWidth="1"/>
    <x:col min="6" max="6" width="64" hidden="0" customWidth="1"/>
  </x:cols>
  <x:sheetData>
    <x:row r="1" ht="58" customHeight="1">
      <x:c r="A1" s="25" t="str">
        <x:v>固定方案/变量</x:v>
      </x:c>
      <x:c r="B1" s="25" t="str">
        <x:v>编码或数值</x:v>
      </x:c>
      <x:c r="C1" s="25" t="str">
        <x:v>含义</x:v>
      </x:c>
      <x:c r="D1" s="25" t="str">
        <x:v>边界</x:v>
      </x:c>
    </x:row>
    <x:row r="2" ht="40" customHeight="1">
      <x:c r="A2" s="28" t="str">
        <x:v>年龄</x:v>
      </x:c>
      <x:c r="B2" s="28" t="str">
        <x:v>岁</x:v>
      </x:c>
      <x:c r="C2" s="28" t="str">
        <x:v>扫描时年龄</x:v>
      </x:c>
      <x:c r="D2" s="28" t="str">
        <x:v>连续变量训练折标准化</x:v>
      </x:c>
    </x:row>
    <x:row r="3" ht="40" customHeight="1">
      <x:c r="A3" s="28" t="str">
        <x:v>性别</x:v>
      </x:c>
      <x:c r="B3" s="28" t="str">
        <x:v>Male=1 / Female=0</x:v>
      </x:c>
      <x:c r="C3" s="28" t="str">
        <x:v>出生性别</x:v>
      </x:c>
      <x:c r="D3" s="28" t="str">
        <x:v>二分类</x:v>
      </x:c>
    </x:row>
    <x:row r="4" ht="40" customHeight="1">
      <x:c r="A4" s="28" t="str">
        <x:v>初始事件间隔</x:v>
      </x:c>
      <x:c r="B4" s="28" t="str">
        <x:v>log1p(天数)</x:v>
      </x:c>
      <x:c r="C4" s="28" t="str">
        <x:v>初始手术/治疗/诊断至扫描</x:v>
      </x:c>
      <x:c r="D4" s="28" t="str">
        <x:v>仅严格扫描前；不是单纯距手术</x:v>
      </x:c>
    </x:row>
    <x:row r="5" ht="40" customHeight="1">
      <x:c r="A5" s="28" t="str">
        <x:v>其他扫描前治疗</x:v>
      </x:c>
      <x:c r="B5" s="28" t="str">
        <x:v>Yes=1 / No=0</x:v>
      </x:c>
      <x:c r="C5" s="28" t="str">
        <x:v>宽泛的既往治疗字段</x:v>
      </x:c>
      <x:c r="D5" s="28" t="str">
        <x:v>不解释为特定药物或因果效应</x:v>
      </x:c>
    </x:row>
    <x:row r="6" ht="40" customHeight="1">
      <x:c r="A6" s="28" t="str">
        <x:v>间隔缺失标记</x:v>
      </x:c>
      <x:c r="B6" s="28" t="str">
        <x:v>缺失=1 / 有值=0</x:v>
      </x:c>
      <x:c r="C6" s="28" t="str">
        <x:v>记录缺失模式</x:v>
      </x:c>
      <x:c r="D6" s="28" t="str">
        <x:v>非生物学指标；填补仅用训练折</x:v>
      </x:c>
    </x:row>
    <x:row r="7" ht="40" customHeight="1">
      <x:c r="A7" s="28" t="str">
        <x:v>C</x:v>
      </x:c>
      <x:c r="B7" s="28" t="n">
        <x:v>1</x:v>
      </x:c>
      <x:c r="C7" s="28" t="str">
        <x:v>L2 Logistic固定强度</x:v>
      </x:c>
      <x:c r="D7" s="28" t="str">
        <x:v>无调参或类别加权</x:v>
      </x:c>
    </x:row>
    <x:row r="8" ht="40" customHeight="1">
      <x:c r="A8" s="28" t="str">
        <x:v>随机种子</x:v>
      </x:c>
      <x:c r="B8" s="28" t="n">
        <x:v>20261029</x:v>
      </x:c>
      <x:c r="C8" s="28" t="str">
        <x:v>固定患者分组</x:v>
      </x:c>
      <x:c r="D8" s="28" t="str">
        <x:v>两套患者ID均核对</x:v>
      </x:c>
    </x:row>
    <x:row r="9" ht="40" customHeight="1">
      <x:c r="A9" s="28" t="str">
        <x:v>固定分类阈值</x:v>
      </x:c>
      <x:c r="B9" s="28" t="n">
        <x:v>0.5</x:v>
      </x:c>
      <x:c r="C9" s="28" t="str">
        <x:v>用于本步混淆计数</x:v>
      </x:c>
      <x:c r="D9" s="28" t="str">
        <x:v>没有在验证数据上优化</x:v>
      </x:c>
    </x:row>
    <x:row r="10" ht="40" customHeight="1">
      <x:c r="A10" s="28" t="str">
        <x:v>验证折数</x:v>
      </x:c>
      <x:c r="B10" s="28" t="n">
        <x:v>5</x:v>
      </x:c>
      <x:c r="C10" s="28" t="str">
        <x:v>StratifiedGroupKFold</x:v>
      </x:c>
      <x:c r="D10" s="28" t="str">
        <x:v>M0/M1/对照同病例同折</x:v>
      </x:c>
    </x:row>
    <x:row r="13" ht="58" customHeight="1">
      <x:c r="A13" s="18" t="str">
        <x:v>ID</x:v>
      </x:c>
      <x:c r="B13" s="18" t="str">
        <x:v>patient_id</x:v>
      </x:c>
      <x:c r="C13" s="18" t="str">
        <x:v>BraTS ID</x:v>
      </x:c>
      <x:c r="D13" s="18" t="str">
        <x:v>brats_patient_id</x:v>
      </x:c>
      <x:c r="E13" s="19" t="str">
        <x:v>tumor_label</x:v>
      </x:c>
      <x:c r="F13" s="18" t="str">
        <x:v>reason</x:v>
      </x:c>
    </x:row>
    <x:row r="14" ht="28" customHeight="1">
      <x:c r="A14" s="4" t="str">
        <x:v>UCSD-PTGBM-0036_01</x:v>
      </x:c>
      <x:c r="B14" s="4" t="str">
        <x:v>UCSD-PTGBM-0036</x:v>
      </x:c>
      <x:c r="C14" s="4" t="str">
        <x:v>BraTS-GLI-02289-100</x:v>
      </x:c>
      <x:c r="D14" s="4" t="str">
        <x:v>BraTS-GLI-02289</x:v>
      </x:c>
      <x:c r="E14" s="6" t="n">
        <x:v>1</x:v>
      </x:c>
      <x:c r="F14" s="4" t="str">
        <x:v>dual_identifier_mapping_conflict; not outcome/performance based</x:v>
      </x:c>
    </x:row>
    <x:row r="15" ht="28" customHeight="1">
      <x:c r="A15" s="4" t="str">
        <x:v>UCSD-PTGBM-0036_02</x:v>
      </x:c>
      <x:c r="B15" s="4" t="str">
        <x:v>UCSD-PTGBM-0036</x:v>
      </x:c>
      <x:c r="C15" s="4" t="str">
        <x:v>BraTS-GLI-02289-101</x:v>
      </x:c>
      <x:c r="D15" s="4" t="str">
        <x:v>BraTS-GLI-02289</x:v>
      </x:c>
      <x:c r="E15" s="6" t="n">
        <x:v>1</x:v>
      </x:c>
      <x:c r="F15" s="4" t="str">
        <x:v>dual_identifier_mapping_conflict; not outcome/performance based</x:v>
      </x:c>
    </x:row>
    <x:row r="16" ht="28" customHeight="1">
      <x:c r="A16" s="4" t="str">
        <x:v>UCSD-PTGBM-0038_01</x:v>
      </x:c>
      <x:c r="B16" s="4" t="str">
        <x:v>UCSD-PTGBM-0038</x:v>
      </x:c>
      <x:c r="C16" s="4" t="str">
        <x:v>BraTS-GLI-02291-100</x:v>
      </x:c>
      <x:c r="D16" s="4" t="str">
        <x:v>BraTS-GLI-02291</x:v>
      </x:c>
      <x:c r="E16" s="6" t="n">
        <x:v>1</x:v>
      </x:c>
      <x:c r="F16" s="4" t="str">
        <x:v>dual_identifier_mapping_conflict; not outcome/performance based</x:v>
      </x:c>
    </x:row>
    <x:row r="17" ht="28" customHeight="1">
      <x:c r="A17" s="4" t="str">
        <x:v>UCSD-PTGBM-0038_02</x:v>
      </x:c>
      <x:c r="B17" s="4" t="str">
        <x:v>UCSD-PTGBM-0038</x:v>
      </x:c>
      <x:c r="C17" s="4" t="str">
        <x:v>BraTS-GLI-02291-101</x:v>
      </x:c>
      <x:c r="D17" s="4" t="str">
        <x:v>BraTS-GLI-02291</x:v>
      </x:c>
      <x:c r="E17" s="6" t="n">
        <x:v>1</x:v>
      </x:c>
      <x:c r="F17" s="4" t="str">
        <x:v>dual_identifier_mapping_conflict; not outcome/performance based</x:v>
      </x:c>
    </x:row>
    <x:row r="18" ht="28" customHeight="1">
      <x:c r="A18" s="4" t="str">
        <x:v>UCSD-PTGBM-0038_03</x:v>
      </x:c>
      <x:c r="B18" s="4" t="str">
        <x:v>UCSD-PTGBM-0038</x:v>
      </x:c>
      <x:c r="C18" s="4" t="str">
        <x:v>BraTS-GLI-02289-102</x:v>
      </x:c>
      <x:c r="D18" s="4" t="str">
        <x:v>BraTS-GLI-02289</x:v>
      </x:c>
      <x:c r="E18" s="6" t="n">
        <x:v>1</x:v>
      </x:c>
      <x:c r="F18" s="4" t="str">
        <x:v>dual_identifier_mapping_conflict; not outcome/performance based</x:v>
      </x:c>
    </x:row>
    <x:row r="21" ht="58" customHeight="1">
      <x:c r="A21" s="25" t="str">
        <x:v>MRI技术核查</x:v>
      </x:c>
      <x:c r="B21" s="25" t="str">
        <x:v>状态/数值</x:v>
      </x:c>
      <x:c r="C21" s="25" t="str">
        <x:v>证据</x:v>
      </x:c>
      <x:c r="D21" s="25" t="str">
        <x:v>未完成事项</x:v>
      </x:c>
    </x:row>
    <x:row r="22" ht="39" customHeight="1">
      <x:c r="A22" s="28" t="str">
        <x:v>指定FLAIR参数</x:v>
      </x:c>
      <x:c r="B22" s="28" t="n">
        <x:v>201</x:v>
      </x:c>
      <x:c r="C22" s="28" t="str">
        <x:v>两份文件下载参数的HTTP状态</x:v>
      </x:c>
      <x:c r="D22" s="28" t="str">
        <x:v>参数不是实际数据</x:v>
      </x:c>
    </x:row>
    <x:row r="23" ht="39" customHeight="1">
      <x:c r="A23" s="28" t="str">
        <x:v>实际下载文件</x:v>
      </x:c>
      <x:c r="B23" s="28" t="n">
        <x:v>0</x:v>
      </x:c>
      <x:c r="C23" s="28" t="str">
        <x:v>实际传输未启动</x:v>
      </x:c>
      <x:c r="D23" s="28" t="str">
        <x:v>尚无NIfTI像素</x:v>
      </x:c>
    </x:row>
    <x:row r="24" ht="39" customHeight="1">
      <x:c r="A24" s="28" t="str">
        <x:v>HTTP网关</x:v>
      </x:c>
      <x:c r="B24" s="28" t="str">
        <x:v>未配置</x:v>
      </x:c>
      <x:c r="C24" s="28" t="str">
        <x:v>公开网页配置</x:v>
      </x:c>
      <x:c r="D24" s="28" t="str">
        <x:v>客户端HTTP备用机制尚未验证</x:v>
      </x:c>
    </x:row>
    <x:row r="25" ht="39" customHeight="1">
      <x:c r="A25" s="28" t="str">
        <x:v>FASP TCP端口</x:v>
      </x:c>
      <x:c r="B25" s="28" t="n">
        <x:v>33001</x:v>
      </x:c>
      <x:c r="C25" s="28" t="str">
        <x:v>连接返回OSError/errno=101</x:v>
      </x:c>
      <x:c r="D25" s="28" t="str">
        <x:v>本环境无可用传输链路</x:v>
      </x:c>
    </x:row>
    <x:row r="26" ht="39" customHeight="1">
      <x:c r="A26" s="28" t="str">
        <x:v>优先病例0001_01</x:v>
      </x:c>
      <x:c r="B26" s="28" t="str">
        <x:v>治疗相关改变</x:v>
      </x:c>
      <x:c r="C26" s="28" t="str">
        <x:v>官方测试包目录已匹配</x:v>
      </x:c>
      <x:c r="D26" s="28" t="str">
        <x:v>先取得FLAIR及后续常规序列</x:v>
      </x:c>
    </x:row>
    <x:row r="27" ht="39" customHeight="1">
      <x:c r="A27" s="28" t="str">
        <x:v>优先病例0003_01</x:v>
      </x:c>
      <x:c r="B27" s="28" t="str">
        <x:v>肿瘤</x:v>
      </x:c>
      <x:c r="C27" s="28" t="str">
        <x:v>官方测试包目录已匹配</x:v>
      </x:c>
      <x:c r="D27" s="28" t="str">
        <x:v>解码、几何和统一ROI待验证</x:v>
      </x:c>
    </x:row>
    <x:row r="30" ht="58" customHeight="1">
      <x:c r="A30" s="25" t="str">
        <x:v>来源</x:v>
      </x:c>
      <x:c r="B30" s="25" t="str">
        <x:v>URL</x:v>
      </x:c>
      <x:c r="C30" s="25" t="str">
        <x:v>范围</x:v>
      </x:c>
    </x:row>
    <x:row r="31" ht="65" customHeight="1">
      <x:c r="A31" s="28" t="str">
        <x:v>TCIA集合</x:v>
      </x:c>
      <x:c r="B31" s="28" t="str">
        <x:v>https://www.cancerimagingarchive.net/collection/ucsd-ptgbm/</x:v>
      </x:c>
      <x:c r="C31" s="28" t="str">
        <x:v>CC BY 4.0，当前临床v3与分类明细</x:v>
      </x:c>
    </x:row>
    <x:row r="32" ht="65" customHeight="1">
      <x:c r="A32" s="28" t="str">
        <x:v>临床v3</x:v>
      </x:c>
      <x:c r="B32" s="28" t="str">
        <x:v>https://www.cancerimagingarchive.net/wp-content/uploads/UCSD_PTGBM-clinical-information_v3_2026-12-Mar.xlsx</x:v>
      </x:c>
      <x:c r="C32" s="28" t="str">
        <x:v>固定字节SHA256，未改写原数据</x:v>
      </x:c>
    </x:row>
    <x:row r="33" ht="65" customHeight="1">
      <x:c r="A33" s="28" t="str">
        <x:v>分类明细</x:v>
      </x:c>
      <x:c r="B33" s="28" t="str">
        <x:v>https://www.cancerimagingarchive.net/wp-content/uploads/details_of_negative_cases_TCIA.xlsx</x:v>
      </x:c>
      <x:c r="C33" s="28" t="str">
        <x:v>治疗改变明细与完整分组补集</x:v>
      </x:c>
    </x:row>
    <x:row r="34" ht="65" customHeight="1">
      <x:c r="A34" s="28" t="str">
        <x:v>数据论文</x:v>
      </x:c>
      <x:c r="B34" s="28" t="str">
        <x:v>https://doi.org/10.1038/s41597-025-06499-z</x:v>
      </x:c>
      <x:c r="C34" s="28" t="str">
        <x:v>参考诊断并非逐例病理金标准</x:v>
      </x:c>
    </x:row>
  </x:sheetData>
  <x:pageMargins left="0.7" right="0.7" top="0.75" bottom="0.75" header="0.3" footer="0.3"/>
  <x:tableParts count="1">
    <x:tablePart xmlns:r="http://schemas.openxmlformats.org/officeDocument/2006/relationships" r:id="R23189305592f4daa"/>
  </x:tableParts>
</x:worksheet>
</file>