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22652b65b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8522d6533740a8"/>
    <x:sheet xmlns:r="http://schemas.openxmlformats.org/officeDocument/2006/relationships" name="Trials" sheetId="2" r:id="R8e72662035c3489d"/>
    <x:sheet xmlns:r="http://schemas.openxmlformats.org/officeDocument/2006/relationships" name="Sources" sheetId="3" r:id="R7e960decb1c8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0000"/>
    <x:numFmt numFmtId="202" formatCode="#,##0"/>
    <x:numFmt numFmtId="203" formatCode="0.00%"/>
    <x:numFmt numFmtId="204" formatCode="0.0000"/>
    <x:numFmt numFmtId="205" formatCode="0"/>
  </x:numFmts>
  <x:fonts count="6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  <x:font>
      <x:sz val="11"/>
      <x:color rgb="FF2637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56D"/>
      </x:patternFill>
    </x:fill>
    <x:fill>
      <x:patternFill patternType="solid">
        <x:fgColor rgb="FF2449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3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5" fontId="4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44F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ba1074fcc489e" /><Relationship Type="http://schemas.openxmlformats.org/officeDocument/2006/relationships/theme" Target="/xl/theme/theme1.xml" Id="R94c201a66c4a47a5" /><Relationship Type="http://schemas.openxmlformats.org/officeDocument/2006/relationships/sharedStrings" Target="/xl/sharedStrings.xml" Id="Rb8bba169665a4b22" /><Relationship Type="http://schemas.openxmlformats.org/officeDocument/2006/relationships/worksheet" Target="/xl/worksheets/sheet1.xml" Id="R568522d6533740a8" /><Relationship Type="http://schemas.openxmlformats.org/officeDocument/2006/relationships/worksheet" Target="/xl/worksheets/sheet2.xml" Id="R8e72662035c3489d" /><Relationship Type="http://schemas.openxmlformats.org/officeDocument/2006/relationships/worksheet" Target="/xl/worksheets/sheet3.xml" Id="R7e960decb1c842f4" /></Relationships>
</file>

<file path=xl/tables/table1.xml><?xml version="1.0" encoding="utf-8"?>
<x:table xmlns:x="http://schemas.openxmlformats.org/spreadsheetml/2006/main" id="1" name="PilotTrialsTable" displayName="PilotTrialsTable" ref="A1:O7" headerRowCount="1" totalsRowCount="0" totalsRowShown="0">
  <x:tableColumns count="15">
    <x:tableColumn id="1" name="attempt"/>
    <x:tableColumn id="2" name="lesion_key"/>
    <x:tableColumn id="3" name="negative_mi_before"/>
    <x:tableColumn id="4" name="negative_mi_after"/>
    <x:tableColumn id="5" name="metric_improved"/>
    <x:tableColumn id="6" name="metric_screen_pass"/>
    <x:tableColumn id="7" name="translation_norm_mm"/>
    <x:tableColumn id="8" name="max_abs_rotation_degrees"/>
    <x:tableColumn id="9" name="foreground_fov_overlap_before"/>
    <x:tableColumn id="10" name="foreground_fov_overlap_after"/>
    <x:tableColumn id="11" name="target_coordinate_fov_before"/>
    <x:tableColumn id="12" name="target_coordinate_fov_after"/>
    <x:tableColumn id="13" name="candidate_status"/>
    <x:tableColumn id="14" name="clinical_alignment_accepted"/>
    <x:tableColumn id="15" name="use_for_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e82da260434d99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2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30" hidden="0" customWidth="1"/>
  </x:cols>
  <x:sheetData>
    <x:row r="2">
      <x:c r="B2" s="32" t="str">
        <x:v>配准试验与建模条件核查</x:v>
      </x:c>
    </x:row>
    <x:row r="4" ht="48" customHeight="1">
      <x:c r="B4" s="37" t="str">
        <x:v>步长受控重试</x:v>
      </x:c>
      <x:c r="C4" s="37" t="str">
        <x:v>负互信息：之前</x:v>
      </x:c>
      <x:c r="D4" s="37" t="str">
        <x:v>负互信息：候选之后</x:v>
      </x:c>
      <x:c r="E4" s="37" t="str">
        <x:v>变化值</x:v>
      </x:c>
      <x:c r="F4" s="37" t="str">
        <x:v>工程筛查</x:v>
      </x:c>
      <x:c r="G4" s="37" t="str">
        <x:v>后续状态</x:v>
      </x:c>
    </x:row>
    <x:row r="5" ht="35" customHeight="1">
      <x:c r="B5" s="33" t="str">
        <x:f>Trials!B5</x:f>
        <x:v>10005_L1</x:v>
      </x:c>
      <x:c r="C5" s="40" t="n">
        <x:f>Trials!C5</x:f>
        <x:v>-0.4332518425089103</x:v>
      </x:c>
      <x:c r="D5" s="40" t="n">
        <x:f>Trials!D5</x:f>
        <x:v>-0.0773931233476517</x:v>
      </x:c>
      <x:c r="E5" s="40" t="n">
        <x:f>D5-C5</x:f>
        <x:v>0.3558587191612586</x:v>
      </x:c>
      <x:c r="F5" s="41" t="n">
        <x:f>Trials!F5</x:f>
        <x:v>0</x:v>
      </x:c>
      <x:c r="G5" s="33" t="str">
        <x:f>IF(F5=1,"仅供解剖复核","拒绝候选变换")</x:f>
        <x:v>拒绝候选变换</x:v>
      </x:c>
    </x:row>
    <x:row r="6" ht="35" customHeight="1">
      <x:c r="B6" s="33" t="str">
        <x:f>Trials!B6</x:f>
        <x:v>10029_L2</x:v>
      </x:c>
      <x:c r="C6" s="40" t="n">
        <x:f>Trials!C6</x:f>
        <x:v>-0.3032532944574249</x:v>
      </x:c>
      <x:c r="D6" s="40" t="n">
        <x:f>Trials!D6</x:f>
        <x:v>-0.3160203819718393</x:v>
      </x:c>
      <x:c r="E6" s="40" t="n">
        <x:f>D6-C6</x:f>
        <x:v>-0.01276708751441441</x:v>
      </x:c>
      <x:c r="F6" s="41" t="n">
        <x:f>Trials!F6</x:f>
        <x:v>1</x:v>
      </x:c>
      <x:c r="G6" s="33" t="str">
        <x:f>IF(F6=1,"仅供解剖复核","拒绝候选变换")</x:f>
        <x:v>仅供解剖复核</x:v>
      </x:c>
    </x:row>
    <x:row r="7" ht="35" customHeight="1">
      <x:c r="B7" s="33" t="str">
        <x:f>Trials!B7</x:f>
        <x:v>40158_L1</x:v>
      </x:c>
      <x:c r="C7" s="40" t="n">
        <x:f>Trials!C7</x:f>
        <x:v>-0.2032923251718509</x:v>
      </x:c>
      <x:c r="D7" s="40" t="n">
        <x:f>Trials!D7</x:f>
        <x:v>-0.2004568367618987</x:v>
      </x:c>
      <x:c r="E7" s="40" t="n">
        <x:f>D7-C7</x:f>
        <x:v>0.0028354884099521804</x:v>
      </x:c>
      <x:c r="F7" s="41" t="n">
        <x:f>Trials!F7</x:f>
        <x:v>0</x:v>
      </x:c>
      <x:c r="G7" s="33" t="str">
        <x:f>IF(F7=1,"仅供解剖复核","拒绝候选变换")</x:f>
        <x:v>拒绝候选变换</x:v>
      </x:c>
    </x:row>
    <x:row r="8">
      <x:c r="B8" s="33"/>
      <x:c r="C8" s="33"/>
      <x:c r="D8" s="33"/>
      <x:c r="E8" s="33"/>
      <x:c r="F8" s="33"/>
      <x:c r="G8" s="33"/>
    </x:row>
    <x:row r="9">
      <x:c r="B9" s="33"/>
      <x:c r="C9" s="33"/>
      <x:c r="D9" s="33"/>
      <x:c r="E9" s="33"/>
      <x:c r="F9" s="33"/>
      <x:c r="G9" s="33"/>
    </x:row>
    <x:row r="10">
      <x:c r="B10" s="33" t="str">
        <x:v>负互信息越低越好；变化值为正表示变差。候选变换均未用于分析。</x:v>
      </x:c>
      <x:c r="C10" s="33"/>
      <x:c r="D10" s="33"/>
      <x:c r="E10" s="33"/>
      <x:c r="F10" s="33"/>
      <x:c r="G10" s="33"/>
    </x:row>
    <x:row r="11">
      <x:c r="B11" s="33"/>
      <x:c r="C11" s="33"/>
      <x:c r="D11" s="33"/>
      <x:c r="E11" s="33"/>
      <x:c r="F11" s="33"/>
      <x:c r="G11" s="33"/>
    </x:row>
    <x:row r="12" ht="35" customHeight="1">
      <x:c r="B12" s="35" t="str">
        <x:v>结局条件</x:v>
      </x:c>
      <x:c r="C12" s="35" t="str">
        <x:v>已核实数量</x:v>
      </x:c>
      <x:c r="D12" s="35" t="str">
        <x:v>解释</x:v>
      </x:c>
      <x:c r="E12" s="33"/>
      <x:c r="F12" s="33"/>
      <x:c r="G12" s="33"/>
    </x:row>
    <x:row r="13" ht="32" customHeight="1">
      <x:c r="B13" s="33" t="str">
        <x:v>数值型RN时间</x:v>
      </x:c>
      <x:c r="C13" s="42" t="n">
        <x:f>Sources!B3</x:f>
        <x:v>35</x:v>
      </x:c>
      <x:c r="D13" s="33" t="str">
        <x:v>仅表示原表有时间记录</x:v>
      </x:c>
      <x:c r="E13" s="33"/>
      <x:c r="F13" s="33"/>
      <x:c r="G13" s="33"/>
    </x:row>
    <x:row r="14" ht="32" customHeight="1">
      <x:c r="B14" s="33" t="str">
        <x:v>RN结局未知</x:v>
      </x:c>
      <x:c r="C14" s="42" t="n">
        <x:f>Sources!B4</x:f>
        <x:v>125</x:v>
      </x:c>
      <x:c r="D14" s="33" t="str">
        <x:v>空白不编码为阴性</x:v>
      </x:c>
      <x:c r="E14" s="33"/>
      <x:c r="F14" s="33"/>
      <x:c r="G14" s="33"/>
    </x:row>
    <x:row r="15" ht="32" customHeight="1">
      <x:c r="B15" s="33" t="str">
        <x:v>已核实阴性</x:v>
      </x:c>
      <x:c r="C15" s="42" t="n">
        <x:f>Sources!B5</x:f>
        <x:v>0</x:v>
      </x:c>
      <x:c r="D15" s="33" t="str">
        <x:v>仍缺少可追溯阴性结局</x:v>
      </x:c>
      <x:c r="E15" s="33"/>
      <x:c r="F15" s="33"/>
      <x:c r="G15" s="33"/>
    </x:row>
    <x:row r="16" ht="32" customHeight="1">
      <x:c r="B16" s="33" t="str">
        <x:v>事件无发生截止</x:v>
      </x:c>
      <x:c r="C16" s="42" t="n">
        <x:f>Sources!B6</x:f>
        <x:v>0</x:v>
      </x:c>
      <x:c r="D16" s="33" t="str">
        <x:v>MRI日期不等于无事件截止</x:v>
      </x:c>
      <x:c r="E16" s="33"/>
      <x:c r="F16" s="33"/>
      <x:c r="G16" s="33"/>
    </x:row>
    <x:row r="17">
      <x:c r="B17" s="33"/>
      <x:c r="C17" s="33"/>
      <x:c r="D17" s="33"/>
      <x:c r="E17" s="33"/>
      <x:c r="F17" s="33"/>
      <x:c r="G17" s="33"/>
    </x:row>
    <x:row r="18">
      <x:c r="B18" s="33"/>
      <x:c r="C18" s="33"/>
      <x:c r="D18" s="33"/>
      <x:c r="E18" s="33"/>
      <x:c r="F18" s="33"/>
      <x:c r="G18" s="33"/>
    </x:row>
    <x:row r="19">
      <x:c r="B19" s="33" t="str">
        <x:v>决定：暂不扩大全队列自动配准；原定风险模型不训练。</x:v>
      </x:c>
      <x:c r="C19" s="33"/>
      <x:c r="D19" s="33"/>
      <x:c r="E19" s="33"/>
      <x:c r="F19" s="33"/>
      <x:c r="G19" s="33"/>
    </x:row>
    <x:row r="20">
      <x:c r="B20" s="33"/>
      <x:c r="C20" s="33"/>
      <x:c r="D20" s="33"/>
      <x:c r="E20" s="33"/>
      <x:c r="F20" s="33"/>
      <x:c r="G20" s="33"/>
    </x:row>
    <x:row r="21">
      <x:c r="B21" s="33" t="str">
        <x:v>优先解决公开终点依据或完整公开标签队列；3例试验不代表全队列质量。</x:v>
      </x:c>
      <x:c r="C21" s="33"/>
      <x:c r="D21" s="33"/>
      <x:c r="E21" s="33"/>
      <x:c r="F21" s="33"/>
      <x:c r="G21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1.600000381469727" hidden="0" customWidth="1"/>
    <x:col min="9" max="9" width="26.100000381469727" hidden="0" customWidth="1"/>
    <x:col min="10" max="10" width="25.200000762939453" hidden="0" customWidth="1"/>
    <x:col min="11" max="11" width="25.200000762939453" hidden="0" customWidth="1"/>
    <x:col min="12" max="12" width="24.299999237060547" hidden="0" customWidth="1"/>
    <x:col min="13" max="13" width="55" hidden="0" customWidth="1"/>
    <x:col min="14" max="14" width="24.299999237060547" hidden="0" customWidth="1"/>
    <x:col min="15" max="15" width="20" hidden="0" customWidth="1"/>
  </x:cols>
  <x:sheetData>
    <x:row r="1" ht="60" customHeight="1">
      <x:c r="A1" s="23" t="str">
        <x:v>attempt</x:v>
      </x:c>
      <x:c r="B1" s="23" t="str">
        <x:v>lesion_key</x:v>
      </x:c>
      <x:c r="C1" s="24" t="str">
        <x:v>negative_mi_before</x:v>
      </x:c>
      <x:c r="D1" s="24" t="str">
        <x:v>negative_mi_after</x:v>
      </x:c>
      <x:c r="E1" s="25" t="str">
        <x:v>metric_improved</x:v>
      </x:c>
      <x:c r="F1" s="25" t="str">
        <x:v>metric_screen_pass</x:v>
      </x:c>
      <x:c r="G1" s="24" t="str">
        <x:v>translation_norm_mm</x:v>
      </x:c>
      <x:c r="H1" s="24" t="str">
        <x:v>max_abs_rotation_degrees</x:v>
      </x:c>
      <x:c r="I1" s="26" t="str">
        <x:v>foreground_fov_overlap_before</x:v>
      </x:c>
      <x:c r="J1" s="26" t="str">
        <x:v>foreground_fov_overlap_after</x:v>
      </x:c>
      <x:c r="K1" s="26" t="str">
        <x:v>target_coordinate_fov_before</x:v>
      </x:c>
      <x:c r="L1" s="26" t="str">
        <x:v>target_coordinate_fov_after</x:v>
      </x:c>
      <x:c r="M1" s="23" t="str">
        <x:v>candidate_status</x:v>
      </x:c>
      <x:c r="N1" s="25" t="str">
        <x:v>clinical_alignment_accepted</x:v>
      </x:c>
      <x:c r="O1" s="25" t="str">
        <x:v>use_for_model</x:v>
      </x:c>
    </x:row>
    <x:row r="2" ht="28" customHeight="1">
      <x:c r="A2" s="4" t="str">
        <x:v>initial_gradient_descent</x:v>
      </x:c>
      <x:c r="B2" s="4" t="str">
        <x:v>10005_L1</x:v>
      </x:c>
      <x:c r="C2" s="6" t="n">
        <x:v>-0.4332518425089103</x:v>
      </x:c>
      <x:c r="D2" s="6" t="n">
        <x:v>-0.0706733741774568</x:v>
      </x:c>
      <x:c r="E2" s="8" t="n">
        <x:v>0</x:v>
      </x:c>
      <x:c r="F2" s="8" t="n">
        <x:v>0</x:v>
      </x:c>
      <x:c r="G2" s="6" t="n">
        <x:v>120.61020795068376</x:v>
      </x:c>
      <x:c r="H2" s="6" t="n">
        <x:v>14.57878053267589</x:v>
      </x:c>
      <x:c r="I2" s="10" t="n">
        <x:v>0.9558616512800366</x:v>
      </x:c>
      <x:c r="J2" s="10" t="n">
        <x:v>0.2718113664636941</x:v>
      </x:c>
      <x:c r="K2" s="10" t="n">
        <x:v>1</x:v>
      </x:c>
      <x:c r="L2" s="10" t="n">
        <x:v>0</x:v>
      </x:c>
      <x:c r="M2" s="4" t="str">
        <x:v>rejected_metric_or_overlap</x:v>
      </x:c>
      <x:c r="N2" s="8" t="n">
        <x:v>0</x:v>
      </x:c>
      <x:c r="O2" s="8" t="n">
        <x:v>0</x:v>
      </x:c>
    </x:row>
    <x:row r="3" ht="28" customHeight="1">
      <x:c r="A3" s="4" t="str">
        <x:v>initial_gradient_descent</x:v>
      </x:c>
      <x:c r="B3" s="4" t="str">
        <x:v>10029_L2</x:v>
      </x:c>
      <x:c r="C3" s="6" t="n">
        <x:v>-0.3032532944574249</x:v>
      </x:c>
      <x:c r="D3" s="6" t="n">
        <x:v>-0.0629865070139112</x:v>
      </x:c>
      <x:c r="E3" s="8" t="n">
        <x:v>0</x:v>
      </x:c>
      <x:c r="F3" s="8" t="n">
        <x:v>0</x:v>
      </x:c>
      <x:c r="G3" s="6" t="n">
        <x:v>20.306487131256347</x:v>
      </x:c>
      <x:c r="H3" s="6" t="n">
        <x:v>1.4569600067241135</x:v>
      </x:c>
      <x:c r="I3" s="10" t="n">
        <x:v>0.9430318823106169</x:v>
      </x:c>
      <x:c r="J3" s="10" t="n">
        <x:v>0.9912102443435394</x:v>
      </x:c>
      <x:c r="K3" s="10" t="n">
        <x:v>1</x:v>
      </x:c>
      <x:c r="L3" s="10" t="n">
        <x:v>1</x:v>
      </x:c>
      <x:c r="M3" s="4" t="str">
        <x:v>rejected_metric_or_overlap</x:v>
      </x:c>
      <x:c r="N3" s="8" t="n">
        <x:v>0</x:v>
      </x:c>
      <x:c r="O3" s="8" t="n">
        <x:v>0</x:v>
      </x:c>
    </x:row>
    <x:row r="4" ht="28" customHeight="1">
      <x:c r="A4" s="4" t="str">
        <x:v>initial_gradient_descent</x:v>
      </x:c>
      <x:c r="B4" s="4" t="str">
        <x:v>40158_L1</x:v>
      </x:c>
      <x:c r="C4" s="6" t="n">
        <x:v>-0.2032923251718509</x:v>
      </x:c>
      <x:c r="D4" s="6" t="n">
        <x:v>-0.0962985944948003</x:v>
      </x:c>
      <x:c r="E4" s="8" t="n">
        <x:v>0</x:v>
      </x:c>
      <x:c r="F4" s="8" t="n">
        <x:v>0</x:v>
      </x:c>
      <x:c r="G4" s="6" t="n">
        <x:v>12.881395750717362</x:v>
      </x:c>
      <x:c r="H4" s="6" t="n">
        <x:v>10.846356880189692</x:v>
      </x:c>
      <x:c r="I4" s="10" t="n">
        <x:v>0.8876333370401102</x:v>
      </x:c>
      <x:c r="J4" s="10" t="n">
        <x:v>0.8675397551816463</x:v>
      </x:c>
      <x:c r="K4" s="10" t="n">
        <x:v>0.9830002297266252</x:v>
      </x:c>
      <x:c r="L4" s="10" t="n">
        <x:v>0.9967838272455778</x:v>
      </x:c>
      <x:c r="M4" s="4" t="str">
        <x:v>rejected_metric_or_overlap</x:v>
      </x:c>
      <x:c r="N4" s="8" t="n">
        <x:v>0</x:v>
      </x:c>
      <x:c r="O4" s="8" t="n">
        <x:v>0</x:v>
      </x:c>
    </x:row>
    <x:row r="5" ht="28" customHeight="1">
      <x:c r="A5" s="4" t="str">
        <x:v>regular_step</x:v>
      </x:c>
      <x:c r="B5" s="4" t="str">
        <x:v>10005_L1</x:v>
      </x:c>
      <x:c r="C5" s="6" t="n">
        <x:v>-0.4332518425089103</x:v>
      </x:c>
      <x:c r="D5" s="6" t="n">
        <x:v>-0.0773931233476517</x:v>
      </x:c>
      <x:c r="E5" s="8" t="n">
        <x:v>0</x:v>
      </x:c>
      <x:c r="F5" s="8" t="n">
        <x:v>0</x:v>
      </x:c>
      <x:c r="G5" s="6" t="n">
        <x:v>128.68289059051205</x:v>
      </x:c>
      <x:c r="H5" s="6" t="n">
        <x:v>10.547648324240193</x:v>
      </x:c>
      <x:c r="I5" s="10" t="n">
        <x:v>0.9558616512800366</x:v>
      </x:c>
      <x:c r="J5" s="10" t="n">
        <x:v>0.2372732927388201</x:v>
      </x:c>
      <x:c r="K5" s="10" t="n">
        <x:v>1</x:v>
      </x:c>
      <x:c r="L5" s="10" t="n">
        <x:v>0</x:v>
      </x:c>
      <x:c r="M5" s="4" t="str">
        <x:v>rejected_metric_or_overlap</x:v>
      </x:c>
      <x:c r="N5" s="8" t="n">
        <x:v>0</x:v>
      </x:c>
      <x:c r="O5" s="8" t="n">
        <x:v>0</x:v>
      </x:c>
    </x:row>
    <x:row r="6" ht="28" customHeight="1">
      <x:c r="A6" s="4" t="str">
        <x:v>regular_step</x:v>
      </x:c>
      <x:c r="B6" s="4" t="str">
        <x:v>10029_L2</x:v>
      </x:c>
      <x:c r="C6" s="6" t="n">
        <x:v>-0.3032532944574249</x:v>
      </x:c>
      <x:c r="D6" s="6" t="n">
        <x:v>-0.3160203819718393</x:v>
      </x:c>
      <x:c r="E6" s="8" t="n">
        <x:v>1</x:v>
      </x:c>
      <x:c r="F6" s="8" t="n">
        <x:v>1</x:v>
      </x:c>
      <x:c r="G6" s="6" t="n">
        <x:v>0.3712848603845468</x:v>
      </x:c>
      <x:c r="H6" s="6" t="n">
        <x:v>0.4369859808185521</x:v>
      </x:c>
      <x:c r="I6" s="10" t="n">
        <x:v>0.9430318823106169</x:v>
      </x:c>
      <x:c r="J6" s="10" t="n">
        <x:v>0.9369743405252462</x:v>
      </x:c>
      <x:c r="K6" s="10" t="n">
        <x:v>1</x:v>
      </x:c>
      <x:c r="L6" s="10" t="n">
        <x:v>1</x:v>
      </x:c>
      <x:c r="M6" s="4" t="str">
        <x:v>metric_screen_only_needs_anatomical_review</x:v>
      </x:c>
      <x:c r="N6" s="8" t="n">
        <x:v>0</x:v>
      </x:c>
      <x:c r="O6" s="8" t="n">
        <x:v>0</x:v>
      </x:c>
    </x:row>
    <x:row r="7" ht="28" customHeight="1">
      <x:c r="A7" s="4" t="str">
        <x:v>regular_step</x:v>
      </x:c>
      <x:c r="B7" s="4" t="str">
        <x:v>40158_L1</x:v>
      </x:c>
      <x:c r="C7" s="6" t="n">
        <x:v>-0.2032923251718509</x:v>
      </x:c>
      <x:c r="D7" s="6" t="n">
        <x:v>-0.2004568367618987</x:v>
      </x:c>
      <x:c r="E7" s="8" t="n">
        <x:v>0</x:v>
      </x:c>
      <x:c r="F7" s="8" t="n">
        <x:v>0</x:v>
      </x:c>
      <x:c r="G7" s="6" t="n">
        <x:v>2.083735057108809</x:v>
      </x:c>
      <x:c r="H7" s="6" t="n">
        <x:v>0.9525548887475724</x:v>
      </x:c>
      <x:c r="I7" s="10" t="n">
        <x:v>0.8876333370401102</x:v>
      </x:c>
      <x:c r="J7" s="10" t="n">
        <x:v>0.8944851714669427</x:v>
      </x:c>
      <x:c r="K7" s="10" t="n">
        <x:v>0.9830002297266252</x:v>
      </x:c>
      <x:c r="L7" s="10" t="n">
        <x:v>1</x:v>
      </x:c>
      <x:c r="M7" s="4" t="str">
        <x:v>rejected_metric_or_overlap</x:v>
      </x:c>
      <x:c r="N7" s="8" t="n">
        <x:v>0</x:v>
      </x:c>
      <x:c r="O7" s="8" t="n">
        <x:v>0</x:v>
      </x:c>
    </x:row>
  </x:sheetData>
  <x:conditionalFormatting sqref="F2:F7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e82da260434d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4" hidden="0" customWidth="1"/>
    <x:col min="4" max="4" width="17" hidden="0" customWidth="1"/>
    <x:col min="5" max="5" width="90" hidden="0" customWidth="1"/>
    <x:col min="6" max="6" width="70" hidden="0" customWidth="1"/>
  </x:cols>
  <x:sheetData>
    <x:row r="1" ht="42" customHeight="1">
      <x:c r="A1" s="31" t="str">
        <x:v>原定模型所需数据</x:v>
      </x:c>
      <x:c r="B1" s="31" t="str">
        <x:v>已核实数量或标记</x:v>
      </x:c>
      <x:c r="C1" s="2"/>
      <x:c r="D1" s="31" t="str">
        <x:v>核查日期</x:v>
      </x:c>
      <x:c r="E1" s="31" t="str">
        <x:v>公开来源</x:v>
      </x:c>
      <x:c r="F1" s="31" t="str">
        <x:v>判断依据</x:v>
      </x:c>
    </x:row>
    <x:row r="2" ht="54" customHeight="1">
      <x:c r="A2" s="2" t="str">
        <x:v>临床病灶</x:v>
      </x:c>
      <x:c r="B2" s="7" t="n">
        <x:v>160</x:v>
      </x:c>
      <x:c r="C2" s="2"/>
      <x:c r="D2" s="2" t="str">
        <x:v>2026-10-29</x:v>
      </x:c>
      <x:c r="E2" s="27" t="str">
        <x:v>https://dw.molab.es/indices/bm1/OpenBTAI_METS_ClinicalData_Nov2023.xlsx</x:v>
      </x:c>
      <x:c r="F2" s="27" t="str">
        <x:v>原作者临床文件SHA256与此前一致</x:v>
      </x:c>
    </x:row>
    <x:row r="3" ht="54" customHeight="1">
      <x:c r="A3" s="2" t="str">
        <x:v>数值型RN时间</x:v>
      </x:c>
      <x:c r="B3" s="7" t="n">
        <x:v>35</x:v>
      </x:c>
      <x:c r="C3" s="2"/>
      <x:c r="D3" s="2" t="str">
        <x:v>2026-10-29</x:v>
      </x:c>
      <x:c r="E3" s="27" t="str">
        <x:v>https://www.nature.com/articles/s41597-023-02123-0</x:v>
      </x:c>
      <x:c r="F3" s="27" t="str">
        <x:v>论文事件计数不能替代逐病灶无事件随访</x:v>
      </x:c>
    </x:row>
    <x:row r="4" ht="54" customHeight="1">
      <x:c r="A4" s="2" t="str">
        <x:v>RN结局未知</x:v>
      </x:c>
      <x:c r="B4" s="7" t="n">
        <x:v>125</x:v>
      </x:c>
      <x:c r="C4" s="2"/>
      <x:c r="D4" s="2" t="str">
        <x:v>2026-10-29</x:v>
      </x:c>
      <x:c r="E4" s="27" t="str">
        <x:v>https://pmc.ncbi.nlm.nih.gov/articles/PMC13490108/</x:v>
      </x:c>
      <x:c r="F4" s="27" t="str">
        <x:v>诊断队列不等于治疗前风险队列；附录未完成字节获取</x:v>
      </x:c>
    </x:row>
    <x:row r="5" ht="54" customHeight="1">
      <x:c r="A5" s="2" t="str">
        <x:v>已核实阴性</x:v>
      </x:c>
      <x:c r="B5" s="7" t="n">
        <x:v>0</x:v>
      </x:c>
      <x:c r="C5" s="2"/>
      <x:c r="D5" s="2" t="str">
        <x:v>2026-10-29</x:v>
      </x:c>
      <x:c r="E5" s="27" t="str">
        <x:v>https://github.com/chamseddine-lab/rn-d3/tree/c4619bab9f27c102a25341ed838dea49fe9ac0c5</x:v>
      </x:c>
      <x:c r="F5" s="27" t="str">
        <x:v>所查代码树只有合成示例registry</x:v>
      </x:c>
    </x:row>
    <x:row r="6" ht="54" customHeight="1">
      <x:c r="A6" s="2" t="str">
        <x:v>已核实事件无发生截止</x:v>
      </x:c>
      <x:c r="B6" s="7" t="n">
        <x:v>0</x:v>
      </x:c>
      <x:c r="C6" s="2"/>
      <x:c r="D6" s="2" t="str">
        <x:v>2026-10-29</x:v>
      </x:c>
      <x:c r="E6" s="27" t="str">
        <x:v>https://simpleitk.readthedocs.io/en/main/registrationOverview.html</x:v>
      </x:c>
      <x:c r="F6" s="27" t="str">
        <x:v>配准变换方向及可复现设置方法</x:v>
      </x:c>
    </x:row>
    <x:row r="7" ht="36" customHeight="1">
      <x:c r="A7" s="2" t="str">
        <x:v>原风险模型条件具备</x:v>
      </x:c>
      <x:c r="B7" s="7" t="n">
        <x:v>0</x:v>
      </x:c>
      <x:c r="C7" s="2"/>
      <x:c r="D7" s="2"/>
      <x:c r="E7" s="2"/>
      <x:c r="F7" s="2"/>
    </x:row>
  </x:sheetData>
  <x:pageMargins left="0.7" right="0.7" top="0.75" bottom="0.75" header="0.3" footer="0.3"/>
</x:worksheet>
</file>